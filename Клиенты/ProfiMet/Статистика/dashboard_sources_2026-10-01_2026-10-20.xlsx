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шборд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Списки" sheetId="3" state="visible" r:id="rId3"/>
    <sheet xmlns:r="http://schemas.openxmlformats.org/officeDocument/2006/relationships" name="Как считается" sheetId="4" state="visible" r:id="rId4"/>
    <sheet xmlns:r="http://schemas.openxmlformats.org/officeDocument/2006/relationships" name="Заказы по схеме клиента" sheetId="5" state="visible" r:id="rId5"/>
    <sheet xmlns:r="http://schemas.openxmlformats.org/officeDocument/2006/relationships" name="Расхождени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1" fillId="2" borderId="0" applyAlignment="1" pivotButton="0" quotePrefix="0" xfId="0">
      <alignment horizontal="center" wrapText="1"/>
    </xf>
    <xf numFmtId="166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6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167" fontId="1" fillId="0" borderId="0" applyAlignment="1" pivotButton="0" quotePrefix="0" xfId="0">
      <alignment horizontal="right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ProfiMet: по источникам</t>
        </is>
      </c>
    </row>
    <row r="2">
      <c r="A2" s="2" t="inlineStr">
        <is>
          <t>Период (выберите из списка)</t>
        </is>
      </c>
      <c r="B2" s="3" t="inlineStr">
        <is>
          <t>Текущий месяц</t>
        </is>
      </c>
    </row>
    <row r="3">
      <c r="A3" s="2" t="inlineStr">
        <is>
          <t>Начало</t>
        </is>
      </c>
      <c r="B3" s="4">
        <f>IF($B$2="Свой период",$E$3,VLOOKUP($B$2,'Списки'!$A$2:$C$14,2,FALSE))</f>
        <v/>
      </c>
      <c r="D3" s="2" t="inlineStr">
        <is>
          <t>Свой период: начало</t>
        </is>
      </c>
      <c r="E3" s="5" t="n">
        <v>46296</v>
      </c>
    </row>
    <row r="4">
      <c r="A4" s="2" t="inlineStr">
        <is>
          <t>Конец</t>
        </is>
      </c>
      <c r="B4" s="4">
        <f>IF($B$2="Свой период",$E$4,MIN(VLOOKUP($B$2,'Списки'!$A$2:$C$14,3,FALSE),MAX('Данные'!$A:$A)))</f>
        <v/>
      </c>
      <c r="D4" s="2" t="inlineStr">
        <is>
          <t>Свой период: конец</t>
        </is>
      </c>
      <c r="E4" s="5" t="n">
        <v>46315</v>
      </c>
    </row>
    <row r="5">
      <c r="A5" s="2" t="inlineStr">
        <is>
          <t>Курс USD→EUR для Facebook (допущение, можно менять)</t>
        </is>
      </c>
      <c r="B5" s="3" t="n">
        <v>0.8244</v>
      </c>
    </row>
    <row r="6">
      <c r="A6" s="2" t="inlineStr">
        <is>
          <t>Данные есть по</t>
        </is>
      </c>
      <c r="B6" s="4">
        <f>MAX('Данные'!$A:$A)</f>
        <v/>
      </c>
    </row>
    <row r="7">
      <c r="A7" s="2" t="inlineStr">
        <is>
          <t>Режим подсчёта конверсий и звонков</t>
        </is>
      </c>
      <c r="B7" s="3" t="inlineStr">
        <is>
          <t>Наш (60 дней, формы из CRM)</t>
        </is>
      </c>
    </row>
    <row r="8" ht="32" customHeight="1">
      <c r="A8" s="6" t="inlineStr">
        <is>
          <t>Источник</t>
        </is>
      </c>
      <c r="B8" s="6" t="inlineStr">
        <is>
          <t>Цена</t>
        </is>
      </c>
      <c r="C8" s="6" t="inlineStr">
        <is>
          <t>Клики</t>
        </is>
      </c>
      <c r="D8" s="6" t="inlineStr">
        <is>
          <t>Показы</t>
        </is>
      </c>
      <c r="E8" s="6" t="inlineStr">
        <is>
          <t>Цена клика</t>
        </is>
      </c>
      <c r="F8" s="6" t="inlineStr">
        <is>
          <t>CTR %</t>
        </is>
      </c>
      <c r="G8" s="6" t="inlineStr">
        <is>
          <t>Конверсии</t>
        </is>
      </c>
      <c r="H8" s="6" t="inlineStr">
        <is>
          <t>% конверсии</t>
        </is>
      </c>
      <c r="I8" s="6" t="inlineStr">
        <is>
          <t>Цена заявки</t>
        </is>
      </c>
      <c r="J8" s="6" t="inlineStr">
        <is>
          <t>Звонки</t>
        </is>
      </c>
      <c r="K8" s="6" t="inlineStr">
        <is>
          <t>Продажи</t>
        </is>
      </c>
      <c r="L8" s="6" t="inlineStr">
        <is>
          <t>% продажи</t>
        </is>
      </c>
      <c r="M8" s="6" t="inlineStr">
        <is>
          <t>Цена продажи</t>
        </is>
      </c>
    </row>
    <row r="9">
      <c r="A9" t="inlineStr">
        <is>
          <t>Google Ads</t>
        </is>
      </c>
      <c r="B9" s="7">
        <f>SUMIFS('Данные'!$C:$C,'Данные'!$A:$A,"&gt;="&amp;$B$3,'Данные'!$A:$A,"&lt;="&amp;$B$4,'Данные'!$B:$B,$A9)</f>
        <v/>
      </c>
      <c r="C9" s="8">
        <f>SUMIFS('Данные'!$D:$D,'Данные'!$A:$A,"&gt;="&amp;$B$3,'Данные'!$A:$A,"&lt;="&amp;$B$4,'Данные'!$B:$B,$A9)</f>
        <v/>
      </c>
      <c r="D9" s="8">
        <f>SUMIFS('Данные'!$E:$E,'Данные'!$A:$A,"&gt;="&amp;$B$3,'Данные'!$A:$A,"&lt;="&amp;$B$4,'Данные'!$B:$B,$A9)</f>
        <v/>
      </c>
      <c r="E9" s="7">
        <f>IFERROR(B9/C9,"")</f>
        <v/>
      </c>
      <c r="F9" s="9">
        <f>IFERROR(C9/D9*100,"")</f>
        <v/>
      </c>
      <c r="G9" s="8">
        <f>IF(LEFT($B$7,3)="Как",SUMIFS('Данные'!$I:$I,'Данные'!$A:$A,"&gt;="&amp;$B$3,'Данные'!$A:$A,"&lt;="&amp;$B$4,'Данные'!$B:$B,$A9),SUMIFS('Данные'!$F:$F,'Данные'!$A:$A,"&gt;="&amp;$B$3,'Данные'!$A:$A,"&lt;="&amp;$B$4,'Данные'!$B:$B,$A9))</f>
        <v/>
      </c>
      <c r="H9" s="9">
        <f>IFERROR(G9/C9*100,"")</f>
        <v/>
      </c>
      <c r="I9" s="7">
        <f>IFERROR(B9/G9,"")</f>
        <v/>
      </c>
      <c r="J9" s="8">
        <f>IF(LEFT($B$7,3)="Как",SUMIFS('Данные'!$J:$J,'Данные'!$A:$A,"&gt;="&amp;$B$3,'Данные'!$A:$A,"&lt;="&amp;$B$4,'Данные'!$B:$B,$A9),SUMIFS('Данные'!$G:$G,'Данные'!$A:$A,"&gt;="&amp;$B$3,'Данные'!$A:$A,"&lt;="&amp;$B$4,'Данные'!$B:$B,$A9))</f>
        <v/>
      </c>
      <c r="K9" s="8">
        <f>IF(LEFT($B$7,3)="Как",SUMIFS('Данные'!$K:$K,'Данные'!$A:$A,"&gt;="&amp;$B$3,'Данные'!$A:$A,"&lt;="&amp;$B$4,'Данные'!$B:$B,$A9),SUMIFS('Данные'!$H:$H,'Данные'!$A:$A,"&gt;="&amp;$B$3,'Данные'!$A:$A,"&lt;="&amp;$B$4,'Данные'!$B:$B,$A9))</f>
        <v/>
      </c>
      <c r="L9" s="9">
        <f>IFERROR(K9/G9*100,"")</f>
        <v/>
      </c>
      <c r="M9" s="7">
        <f>IFERROR(B9/K9,"")</f>
        <v/>
      </c>
    </row>
    <row r="10">
      <c r="A10" t="inlineStr">
        <is>
          <t>Facebook</t>
        </is>
      </c>
      <c r="B10" s="7">
        <f>SUMIFS('Данные'!$C:$C,'Данные'!$A:$A,"&gt;="&amp;$B$3,'Данные'!$A:$A,"&lt;="&amp;$B$4,'Данные'!$B:$B,$A10)*$B$5</f>
        <v/>
      </c>
      <c r="C10" s="8">
        <f>SUMIFS('Данные'!$D:$D,'Данные'!$A:$A,"&gt;="&amp;$B$3,'Данные'!$A:$A,"&lt;="&amp;$B$4,'Данные'!$B:$B,$A10)</f>
        <v/>
      </c>
      <c r="D10" s="8">
        <f>SUMIFS('Данные'!$E:$E,'Данные'!$A:$A,"&gt;="&amp;$B$3,'Данные'!$A:$A,"&lt;="&amp;$B$4,'Данные'!$B:$B,$A10)</f>
        <v/>
      </c>
      <c r="E10" s="7">
        <f>IFERROR(B10/C10,"")</f>
        <v/>
      </c>
      <c r="F10" s="9">
        <f>IFERROR(C10/D10*100,"")</f>
        <v/>
      </c>
      <c r="G10" s="8">
        <f>IF(LEFT($B$7,3)="Как",SUMIFS('Данные'!$I:$I,'Данные'!$A:$A,"&gt;="&amp;$B$3,'Данные'!$A:$A,"&lt;="&amp;$B$4,'Данные'!$B:$B,$A10),SUMIFS('Данные'!$F:$F,'Данные'!$A:$A,"&gt;="&amp;$B$3,'Данные'!$A:$A,"&lt;="&amp;$B$4,'Данные'!$B:$B,$A10))</f>
        <v/>
      </c>
      <c r="H10" s="9">
        <f>IFERROR(G10/C10*100,"")</f>
        <v/>
      </c>
      <c r="I10" s="7">
        <f>IFERROR(B10/G10,"")</f>
        <v/>
      </c>
      <c r="J10" s="8">
        <f>IF(LEFT($B$7,3)="Как",SUMIFS('Данные'!$J:$J,'Данные'!$A:$A,"&gt;="&amp;$B$3,'Данные'!$A:$A,"&lt;="&amp;$B$4,'Данные'!$B:$B,$A10),SUMIFS('Данные'!$G:$G,'Данные'!$A:$A,"&gt;="&amp;$B$3,'Данные'!$A:$A,"&lt;="&amp;$B$4,'Данные'!$B:$B,$A10))</f>
        <v/>
      </c>
      <c r="K10" s="8">
        <f>IF(LEFT($B$7,3)="Как",SUMIFS('Данные'!$K:$K,'Данные'!$A:$A,"&gt;="&amp;$B$3,'Данные'!$A:$A,"&lt;="&amp;$B$4,'Данные'!$B:$B,$A10),SUMIFS('Данные'!$H:$H,'Данные'!$A:$A,"&gt;="&amp;$B$3,'Данные'!$A:$A,"&lt;="&amp;$B$4,'Данные'!$B:$B,$A10))</f>
        <v/>
      </c>
      <c r="L10" s="9">
        <f>IFERROR(K10/G10*100,"")</f>
        <v/>
      </c>
      <c r="M10" s="7">
        <f>IFERROR(B10/K10,"")</f>
        <v/>
      </c>
    </row>
    <row r="11">
      <c r="A11" t="inlineStr">
        <is>
          <t>Нет метки</t>
        </is>
      </c>
      <c r="B11" s="7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7" t="inlineStr">
        <is>
          <t>—</t>
        </is>
      </c>
      <c r="F11" s="9" t="inlineStr">
        <is>
          <t>—</t>
        </is>
      </c>
      <c r="G11" s="8">
        <f>IF(LEFT($B$7,3)="Как",SUMIFS('Данные'!$I:$I,'Данные'!$A:$A,"&gt;="&amp;$B$3,'Данные'!$A:$A,"&lt;="&amp;$B$4,'Данные'!$B:$B,$A11),SUMIFS('Данные'!$F:$F,'Данные'!$A:$A,"&gt;="&amp;$B$3,'Данные'!$A:$A,"&lt;="&amp;$B$4,'Данные'!$B:$B,$A11))</f>
        <v/>
      </c>
      <c r="H11" s="9" t="inlineStr">
        <is>
          <t>—</t>
        </is>
      </c>
      <c r="I11" s="7" t="inlineStr">
        <is>
          <t>—</t>
        </is>
      </c>
      <c r="J11" s="8" t="inlineStr">
        <is>
          <t>—</t>
        </is>
      </c>
      <c r="K11" s="8">
        <f>IF(LEFT($B$7,3)="Как",SUMIFS('Данные'!$K:$K,'Данные'!$A:$A,"&gt;="&amp;$B$3,'Данные'!$A:$A,"&lt;="&amp;$B$4,'Данные'!$B:$B,$A11),SUMIFS('Данные'!$H:$H,'Данные'!$A:$A,"&gt;="&amp;$B$3,'Данные'!$A:$A,"&lt;="&amp;$B$4,'Данные'!$B:$B,$A11))</f>
        <v/>
      </c>
      <c r="L11" s="9">
        <f>IFERROR(K11/G11*100,"")</f>
        <v/>
      </c>
      <c r="M11" s="7" t="inlineStr">
        <is>
          <t>—</t>
        </is>
      </c>
    </row>
    <row r="12">
      <c r="A12" t="inlineStr">
        <is>
          <t>Телефон</t>
        </is>
      </c>
      <c r="B12" s="7" t="inlineStr">
        <is>
          <t>—</t>
        </is>
      </c>
      <c r="C12" s="8" t="inlineStr">
        <is>
          <t>—</t>
        </is>
      </c>
      <c r="D12" s="8" t="inlineStr">
        <is>
          <t>—</t>
        </is>
      </c>
      <c r="E12" s="7" t="inlineStr">
        <is>
          <t>—</t>
        </is>
      </c>
      <c r="F12" s="9" t="inlineStr">
        <is>
          <t>—</t>
        </is>
      </c>
      <c r="G12" s="8" t="inlineStr">
        <is>
          <t>—</t>
        </is>
      </c>
      <c r="H12" s="9" t="inlineStr">
        <is>
          <t>—</t>
        </is>
      </c>
      <c r="I12" s="7" t="inlineStr">
        <is>
          <t>—</t>
        </is>
      </c>
      <c r="J12" s="8" t="inlineStr">
        <is>
          <t>—</t>
        </is>
      </c>
      <c r="K12" s="8">
        <f>IF(LEFT($B$7,3)="Как",SUMIFS('Данные'!$K:$K,'Данные'!$A:$A,"&gt;="&amp;$B$3,'Данные'!$A:$A,"&lt;="&amp;$B$4,'Данные'!$B:$B,$A12),SUMIFS('Данные'!$H:$H,'Данные'!$A:$A,"&gt;="&amp;$B$3,'Данные'!$A:$A,"&lt;="&amp;$B$4,'Данные'!$B:$B,$A12))</f>
        <v/>
      </c>
      <c r="L12" s="9" t="inlineStr">
        <is>
          <t>—</t>
        </is>
      </c>
      <c r="M12" s="7" t="inlineStr">
        <is>
          <t>—</t>
        </is>
      </c>
    </row>
    <row r="13">
      <c r="A13" t="inlineStr">
        <is>
          <t>Прочее</t>
        </is>
      </c>
      <c r="B13" s="7" t="inlineStr">
        <is>
          <t>—</t>
        </is>
      </c>
      <c r="C13" s="8" t="inlineStr">
        <is>
          <t>—</t>
        </is>
      </c>
      <c r="D13" s="8" t="inlineStr">
        <is>
          <t>—</t>
        </is>
      </c>
      <c r="E13" s="7" t="inlineStr">
        <is>
          <t>—</t>
        </is>
      </c>
      <c r="F13" s="9" t="inlineStr">
        <is>
          <t>—</t>
        </is>
      </c>
      <c r="G13" s="8" t="inlineStr">
        <is>
          <t>—</t>
        </is>
      </c>
      <c r="H13" s="9" t="inlineStr">
        <is>
          <t>—</t>
        </is>
      </c>
      <c r="I13" s="7" t="inlineStr">
        <is>
          <t>—</t>
        </is>
      </c>
      <c r="J13" s="8" t="inlineStr">
        <is>
          <t>—</t>
        </is>
      </c>
      <c r="K13" s="8">
        <f>IF(LEFT($B$7,3)="Как",SUMIFS('Данные'!$K:$K,'Данные'!$A:$A,"&gt;="&amp;$B$3,'Данные'!$A:$A,"&lt;="&amp;$B$4,'Данные'!$B:$B,$A13),SUMIFS('Данные'!$H:$H,'Данные'!$A:$A,"&gt;="&amp;$B$3,'Данные'!$A:$A,"&lt;="&amp;$B$4,'Данные'!$B:$B,$A13))</f>
        <v/>
      </c>
      <c r="L13" s="9" t="inlineStr">
        <is>
          <t>—</t>
        </is>
      </c>
      <c r="M13" s="7" t="inlineStr">
        <is>
          <t>—</t>
        </is>
      </c>
    </row>
    <row r="14">
      <c r="A14" s="2" t="inlineStr">
        <is>
          <t>Итого</t>
        </is>
      </c>
      <c r="B14" s="10">
        <f>SUM(B9:B10)</f>
        <v/>
      </c>
      <c r="C14" s="11">
        <f>SUM(C9:C10)</f>
        <v/>
      </c>
      <c r="D14" s="11">
        <f>SUM(D9:D10)</f>
        <v/>
      </c>
      <c r="E14" s="10">
        <f>IFERROR(B14/C14,"")</f>
        <v/>
      </c>
      <c r="F14" s="12">
        <f>IFERROR(C14/D14*100,"")</f>
        <v/>
      </c>
      <c r="G14" s="11">
        <f>SUM(G9:G11)</f>
        <v/>
      </c>
      <c r="H14" s="12">
        <f>IFERROR(G14/C14*100,"")</f>
        <v/>
      </c>
      <c r="I14" s="10">
        <f>IFERROR(B14/G14,"")</f>
        <v/>
      </c>
      <c r="J14" s="11">
        <f>SUM(J9:J10)</f>
        <v/>
      </c>
      <c r="K14" s="11">
        <f>SUM(K9:K13)</f>
        <v/>
      </c>
      <c r="L14" s="12">
        <f>IFERROR(K14/G14*100,"")</f>
        <v/>
      </c>
      <c r="M14" s="10">
        <f>IFERROR(B14/K14,"")</f>
        <v/>
      </c>
    </row>
    <row r="16">
      <c r="A16">
        <f>IF(LEFT($B$7,3)="Как","Режим «как у клиента»: звонки — первый звонок номера за всю историю Ringostat; формы — сеансы GA4 form_submit по источнику сеанса; Телефон и Прочее без конверсий. Продажи — по правилу клиента: источник из формы заказа, иначе «Телефон»; заказы на листе «Заказы по схеме клиента», расхождения на листе «Расхождения».","Телефон: новых обращений "&amp;SUMIFS('Данные'!$F:$F,'Данные'!$A:$A,"&gt;="&amp;$B$3,'Данные'!$A:$A,"&lt;="&amp;$B$4,'Данные'!$B:$B,$A12)&amp;" (из них звонков "&amp;SUMIFS('Данные'!$G:$G,'Данные'!$A:$A,"&gt;="&amp;$B$3,'Данные'!$A:$A,"&lt;="&amp;$B$4,'Данные'!$B:$B,$A12)&amp;") — в «Конверсии» и «Звонки» не включены")</f>
        <v/>
      </c>
    </row>
    <row r="17">
      <c r="A17">
        <f>IF(LEFT($B$7,3)="Как","","Нет метки: из "&amp;G11&amp;" конверсий звонков "&amp;SUMIFS('Данные'!$G:$G,'Данные'!$A:$A,"&gt;="&amp;$B$3,'Данные'!$A:$A,"&lt;="&amp;$B$4,'Данные'!$B:$B,$A11)&amp;" — в колонке «Звонки» не показаны")</f>
        <v/>
      </c>
    </row>
    <row r="18">
      <c r="A18">
        <f>IF(LEFT($B$7,3)="Как","","Прочее: новых обращений "&amp;SUMIFS('Данные'!$F:$F,'Данные'!$A:$A,"&gt;="&amp;$B$3,'Данные'!$A:$A,"&lt;="&amp;$B$4,'Данные'!$B:$B,$A13)&amp;" — в «Конверсии» и «Звонки» не включены")</f>
        <v/>
      </c>
    </row>
  </sheetData>
  <dataValidations count="2">
    <dataValidation sqref="B2" showDropDown="0" showInputMessage="0" showErrorMessage="0" allowBlank="0" type="list">
      <formula1>='Списки'!$A$2:$A$14</formula1>
    </dataValidation>
    <dataValidation sqref="B7" showDropDown="0" showInputMessage="0" showErrorMessage="0" allowBlank="0" type="list">
      <formula1>"Наш (60 дней, формы из CRM),Как у клиента (звонки за всю историю, формы GA4)"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0" customWidth="1" min="4" max="4"/>
    <col width="12" customWidth="1" min="5" max="5"/>
    <col width="20" customWidth="1" min="6" max="6"/>
    <col width="14" customWidth="1" min="7" max="7"/>
    <col width="10" customWidth="1" min="8" max="8"/>
    <col width="24" customWidth="1" min="9" max="9"/>
    <col width="24" customWidth="1" min="10" max="10"/>
    <col width="28" customWidth="1" min="11" max="11"/>
  </cols>
  <sheetData>
    <row r="1">
      <c r="A1" s="13" t="inlineStr">
        <is>
          <t>Дата</t>
        </is>
      </c>
      <c r="B1" s="13" t="inlineStr">
        <is>
          <t>Источник</t>
        </is>
      </c>
      <c r="C1" s="13" t="inlineStr">
        <is>
          <t>Цена (Google — €, Facebook — $ как в BigQuery)</t>
        </is>
      </c>
      <c r="D1" s="13" t="inlineStr">
        <is>
          <t>Клики</t>
        </is>
      </c>
      <c r="E1" s="13" t="inlineStr">
        <is>
          <t>Показы</t>
        </is>
      </c>
      <c r="F1" s="13" t="inlineStr">
        <is>
          <t>Конверсии (наш режим: новые обращения CRM)</t>
        </is>
      </c>
      <c r="G1" s="13" t="inlineStr">
        <is>
          <t>из них звонки</t>
        </is>
      </c>
      <c r="H1" s="13" t="inlineStr">
        <is>
          <t>Продажи</t>
        </is>
      </c>
      <c r="I1" s="13" t="inlineStr">
        <is>
          <t>Конверсии (как у клиента: звонки + формы GA4)</t>
        </is>
      </c>
      <c r="J1" s="13" t="inlineStr">
        <is>
          <t>из них звонки (первый звонок за всю историю)</t>
        </is>
      </c>
      <c r="K1" s="13" t="inlineStr">
        <is>
          <t>Продажи (как у клиента: по правилу клиента, количество товара)</t>
        </is>
      </c>
    </row>
    <row r="2">
      <c r="A2" s="4" t="n">
        <v>46296</v>
      </c>
      <c r="B2" t="inlineStr">
        <is>
          <t>Google Ads</t>
        </is>
      </c>
      <c r="C2" t="n">
        <v>472.563275</v>
      </c>
      <c r="D2" t="n">
        <v>5434</v>
      </c>
      <c r="E2" t="n">
        <v>265054</v>
      </c>
      <c r="F2" t="n">
        <v>12</v>
      </c>
      <c r="G2" t="n">
        <v>11</v>
      </c>
      <c r="H2" t="n">
        <v>2</v>
      </c>
      <c r="I2" t="n">
        <v>7</v>
      </c>
      <c r="J2" t="n">
        <v>7</v>
      </c>
      <c r="K2" t="n">
        <v>1</v>
      </c>
    </row>
    <row r="3">
      <c r="A3" s="4" t="n">
        <v>46296</v>
      </c>
      <c r="B3" t="inlineStr">
        <is>
          <t>Facebook</t>
        </is>
      </c>
      <c r="C3" t="n">
        <v>35.17451523545706</v>
      </c>
      <c r="D3" t="n">
        <v>308</v>
      </c>
      <c r="E3" t="n">
        <v>7925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4" t="n">
        <v>46296</v>
      </c>
      <c r="B4" t="inlineStr">
        <is>
          <t>Нет метки</t>
        </is>
      </c>
      <c r="C4" t="n">
        <v/>
      </c>
      <c r="D4" t="n">
        <v/>
      </c>
      <c r="E4" t="n">
        <v/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</row>
    <row r="5">
      <c r="A5" s="4" t="n">
        <v>46296</v>
      </c>
      <c r="B5" t="inlineStr">
        <is>
          <t>Телефон</t>
        </is>
      </c>
      <c r="C5" t="n">
        <v/>
      </c>
      <c r="D5" t="n">
        <v/>
      </c>
      <c r="E5" t="n">
        <v/>
      </c>
      <c r="F5" t="n">
        <v>7</v>
      </c>
      <c r="G5" t="n">
        <v>7</v>
      </c>
      <c r="H5" t="n">
        <v>2</v>
      </c>
      <c r="I5" t="n">
        <v>0</v>
      </c>
      <c r="J5" t="n">
        <v>0</v>
      </c>
      <c r="K5" t="n">
        <v>0</v>
      </c>
    </row>
    <row r="6">
      <c r="A6" s="4" t="n">
        <v>46296</v>
      </c>
      <c r="B6" t="inlineStr">
        <is>
          <t>Прочее</t>
        </is>
      </c>
      <c r="C6" t="n">
        <v/>
      </c>
      <c r="D6" t="n">
        <v/>
      </c>
      <c r="E6" t="n">
        <v/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4" t="n">
        <v>46297</v>
      </c>
      <c r="B7" t="inlineStr">
        <is>
          <t>Google Ads</t>
        </is>
      </c>
      <c r="C7" t="n">
        <v>142.88461</v>
      </c>
      <c r="D7" t="n">
        <v>1071</v>
      </c>
      <c r="E7" t="n">
        <v>38318</v>
      </c>
      <c r="F7" t="n">
        <v>5</v>
      </c>
      <c r="G7" t="n">
        <v>5</v>
      </c>
      <c r="H7" t="n">
        <v>1</v>
      </c>
      <c r="I7" t="n">
        <v>5</v>
      </c>
      <c r="J7" t="n">
        <v>4</v>
      </c>
      <c r="K7" t="n">
        <v>0</v>
      </c>
    </row>
    <row r="8">
      <c r="A8" s="4" t="n">
        <v>46297</v>
      </c>
      <c r="B8" t="inlineStr">
        <is>
          <t>Facebook</t>
        </is>
      </c>
      <c r="C8" t="n">
        <v>31.83656509695291</v>
      </c>
      <c r="D8" t="n">
        <v>338</v>
      </c>
      <c r="E8" t="n">
        <v>6146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</row>
    <row r="9">
      <c r="A9" s="4" t="n">
        <v>46297</v>
      </c>
      <c r="B9" t="inlineStr">
        <is>
          <t>Нет метки</t>
        </is>
      </c>
      <c r="C9" t="n">
        <v/>
      </c>
      <c r="D9" t="n">
        <v/>
      </c>
      <c r="E9" t="n">
        <v/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4" t="n">
        <v>46297</v>
      </c>
      <c r="B10" t="inlineStr">
        <is>
          <t>Телефон</t>
        </is>
      </c>
      <c r="C10" t="n">
        <v/>
      </c>
      <c r="D10" t="n">
        <v/>
      </c>
      <c r="E10" t="n">
        <v/>
      </c>
      <c r="F10" t="n">
        <v>3</v>
      </c>
      <c r="G10" t="n">
        <v>3</v>
      </c>
      <c r="H10" t="n">
        <v>0</v>
      </c>
      <c r="I10" t="n">
        <v>0</v>
      </c>
      <c r="J10" t="n">
        <v>0</v>
      </c>
      <c r="K10" t="n">
        <v>3</v>
      </c>
    </row>
    <row r="11">
      <c r="A11" s="4" t="n">
        <v>46297</v>
      </c>
      <c r="B11" t="inlineStr">
        <is>
          <t>Прочее</t>
        </is>
      </c>
      <c r="C11" t="n">
        <v/>
      </c>
      <c r="D11" t="n">
        <v/>
      </c>
      <c r="E11" t="n">
        <v/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4" t="n">
        <v>46298</v>
      </c>
      <c r="B12" t="inlineStr">
        <is>
          <t>Google Ads</t>
        </is>
      </c>
      <c r="C12" t="n">
        <v>5.348426</v>
      </c>
      <c r="D12" t="n">
        <v>8</v>
      </c>
      <c r="E12" t="n">
        <v>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4" t="n">
        <v>46298</v>
      </c>
      <c r="B13" t="inlineStr">
        <is>
          <t>Facebook</t>
        </is>
      </c>
      <c r="C13" t="n">
        <v>31.26869806094183</v>
      </c>
      <c r="D13" t="n">
        <v>345</v>
      </c>
      <c r="E13" t="n">
        <v>6544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4" t="n">
        <v>46298</v>
      </c>
      <c r="B14" t="inlineStr">
        <is>
          <t>Нет метки</t>
        </is>
      </c>
      <c r="C14" t="n">
        <v/>
      </c>
      <c r="D14" t="n">
        <v/>
      </c>
      <c r="E14" t="n">
        <v/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4" t="n">
        <v>46298</v>
      </c>
      <c r="B15" t="inlineStr">
        <is>
          <t>Телефон</t>
        </is>
      </c>
      <c r="C15" t="n">
        <v/>
      </c>
      <c r="D15" t="n">
        <v/>
      </c>
      <c r="E15" t="n">
        <v/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4" t="n">
        <v>46298</v>
      </c>
      <c r="B16" t="inlineStr">
        <is>
          <t>Прочее</t>
        </is>
      </c>
      <c r="C16" t="n">
        <v/>
      </c>
      <c r="D16" t="n">
        <v/>
      </c>
      <c r="E16" t="n">
        <v/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4" t="n">
        <v>46299</v>
      </c>
      <c r="B17" t="inlineStr">
        <is>
          <t>Google Ads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4" t="n">
        <v>46299</v>
      </c>
      <c r="B18" t="inlineStr">
        <is>
          <t>Facebook</t>
        </is>
      </c>
      <c r="C18" t="n">
        <v>40.80609418282549</v>
      </c>
      <c r="D18" t="n">
        <v>520</v>
      </c>
      <c r="E18" t="n">
        <v>8994</v>
      </c>
      <c r="F18" t="n">
        <v>1</v>
      </c>
      <c r="G18" t="n">
        <v>1</v>
      </c>
      <c r="H18" t="n">
        <v>0</v>
      </c>
      <c r="I18" t="n">
        <v>2</v>
      </c>
      <c r="J18" t="n">
        <v>1</v>
      </c>
      <c r="K18" t="n">
        <v>0</v>
      </c>
    </row>
    <row r="19">
      <c r="A19" s="4" t="n">
        <v>46299</v>
      </c>
      <c r="B19" t="inlineStr">
        <is>
          <t>Нет метки</t>
        </is>
      </c>
      <c r="C19" t="n">
        <v/>
      </c>
      <c r="D19" t="n">
        <v/>
      </c>
      <c r="E19" t="n">
        <v/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</row>
    <row r="20">
      <c r="A20" s="4" t="n">
        <v>46299</v>
      </c>
      <c r="B20" t="inlineStr">
        <is>
          <t>Телефон</t>
        </is>
      </c>
      <c r="C20" t="n">
        <v/>
      </c>
      <c r="D20" t="n">
        <v/>
      </c>
      <c r="E20" t="n">
        <v/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4" t="n">
        <v>46299</v>
      </c>
      <c r="B21" t="inlineStr">
        <is>
          <t>Прочее</t>
        </is>
      </c>
      <c r="C21" t="n">
        <v/>
      </c>
      <c r="D21" t="n">
        <v/>
      </c>
      <c r="E21" t="n">
        <v/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4" t="n">
        <v>46300</v>
      </c>
      <c r="B22" t="inlineStr">
        <is>
          <t>Google Ads</t>
        </is>
      </c>
      <c r="C22" t="n">
        <v>106.021686</v>
      </c>
      <c r="D22" t="n">
        <v>418</v>
      </c>
      <c r="E22" t="n">
        <v>5593</v>
      </c>
      <c r="F22" t="n">
        <v>5</v>
      </c>
      <c r="G22" t="n">
        <v>5</v>
      </c>
      <c r="H22" t="n">
        <v>6</v>
      </c>
      <c r="I22" t="n">
        <v>7</v>
      </c>
      <c r="J22" t="n">
        <v>5</v>
      </c>
      <c r="K22" t="n">
        <v>1</v>
      </c>
    </row>
    <row r="23">
      <c r="A23" s="4" t="n">
        <v>46300</v>
      </c>
      <c r="B23" t="inlineStr">
        <is>
          <t>Facebook</t>
        </is>
      </c>
      <c r="C23" t="n">
        <v>34.01385041551247</v>
      </c>
      <c r="D23" t="n">
        <v>424</v>
      </c>
      <c r="E23" t="n">
        <v>7257</v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</row>
    <row r="24">
      <c r="A24" s="4" t="n">
        <v>46300</v>
      </c>
      <c r="B24" t="inlineStr">
        <is>
          <t>Нет метки</t>
        </is>
      </c>
      <c r="C24" t="n">
        <v/>
      </c>
      <c r="D24" t="n">
        <v/>
      </c>
      <c r="E24" t="n">
        <v/>
      </c>
      <c r="F24" t="n">
        <v>6</v>
      </c>
      <c r="G24" t="n">
        <v>3</v>
      </c>
      <c r="H24" t="n">
        <v>4</v>
      </c>
      <c r="I24" t="n">
        <v>0</v>
      </c>
      <c r="J24" t="n">
        <v>0</v>
      </c>
      <c r="K24" t="n">
        <v>2</v>
      </c>
    </row>
    <row r="25">
      <c r="A25" s="4" t="n">
        <v>46300</v>
      </c>
      <c r="B25" t="inlineStr">
        <is>
          <t>Телефон</t>
        </is>
      </c>
      <c r="C25" t="n">
        <v/>
      </c>
      <c r="D25" t="n">
        <v/>
      </c>
      <c r="E25" t="n">
        <v/>
      </c>
      <c r="F25" t="n">
        <v>22</v>
      </c>
      <c r="G25" t="n">
        <v>22</v>
      </c>
      <c r="H25" t="n">
        <v>6</v>
      </c>
      <c r="I25" t="n">
        <v>0</v>
      </c>
      <c r="J25" t="n">
        <v>0</v>
      </c>
      <c r="K25" t="n">
        <v>8</v>
      </c>
    </row>
    <row r="26">
      <c r="A26" s="4" t="n">
        <v>46300</v>
      </c>
      <c r="B26" t="inlineStr">
        <is>
          <t>Прочее</t>
        </is>
      </c>
      <c r="C26" t="n">
        <v/>
      </c>
      <c r="D26" t="n">
        <v/>
      </c>
      <c r="E26" t="n">
        <v/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4" t="n">
        <v>46301</v>
      </c>
      <c r="B27" t="inlineStr">
        <is>
          <t>Google Ads</t>
        </is>
      </c>
      <c r="C27" t="n">
        <v>83.565941</v>
      </c>
      <c r="D27" t="n">
        <v>233</v>
      </c>
      <c r="E27" t="n">
        <v>2308</v>
      </c>
      <c r="F27" t="n">
        <v>2</v>
      </c>
      <c r="G27" t="n">
        <v>1</v>
      </c>
      <c r="H27" t="n">
        <v>1</v>
      </c>
      <c r="I27" t="n">
        <v>3</v>
      </c>
      <c r="J27" t="n">
        <v>2</v>
      </c>
      <c r="K27" t="n">
        <v>1</v>
      </c>
    </row>
    <row r="28">
      <c r="A28" s="4" t="n">
        <v>46301</v>
      </c>
      <c r="B28" t="inlineStr">
        <is>
          <t>Facebook</t>
        </is>
      </c>
      <c r="C28" t="n">
        <v>35.22160664819945</v>
      </c>
      <c r="D28" t="n">
        <v>334</v>
      </c>
      <c r="E28" t="n">
        <v>7726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4" t="n">
        <v>46301</v>
      </c>
      <c r="B29" t="inlineStr">
        <is>
          <t>Нет метки</t>
        </is>
      </c>
      <c r="C29" t="n">
        <v/>
      </c>
      <c r="D29" t="n">
        <v/>
      </c>
      <c r="E29" t="n">
        <v/>
      </c>
      <c r="F29" t="n">
        <v>2</v>
      </c>
      <c r="G29" t="n">
        <v>1</v>
      </c>
      <c r="H29" t="n">
        <v>2</v>
      </c>
      <c r="I29" t="n">
        <v>1</v>
      </c>
      <c r="J29" t="n">
        <v>0</v>
      </c>
      <c r="K29" t="n">
        <v>1</v>
      </c>
    </row>
    <row r="30">
      <c r="A30" s="4" t="n">
        <v>46301</v>
      </c>
      <c r="B30" t="inlineStr">
        <is>
          <t>Телефон</t>
        </is>
      </c>
      <c r="C30" t="n">
        <v/>
      </c>
      <c r="D30" t="n">
        <v/>
      </c>
      <c r="E30" t="n">
        <v/>
      </c>
      <c r="F30" t="n">
        <v>6</v>
      </c>
      <c r="G30" t="n">
        <v>6</v>
      </c>
      <c r="H30" t="n">
        <v>4</v>
      </c>
      <c r="I30" t="n">
        <v>0</v>
      </c>
      <c r="J30" t="n">
        <v>0</v>
      </c>
      <c r="K30" t="n">
        <v>2</v>
      </c>
    </row>
    <row r="31">
      <c r="A31" s="4" t="n">
        <v>46301</v>
      </c>
      <c r="B31" t="inlineStr">
        <is>
          <t>Прочее</t>
        </is>
      </c>
      <c r="C31" t="n">
        <v/>
      </c>
      <c r="D31" t="n">
        <v/>
      </c>
      <c r="E31" t="n">
        <v/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4" t="n">
        <v>46302</v>
      </c>
      <c r="B32" t="inlineStr">
        <is>
          <t>Google Ads</t>
        </is>
      </c>
      <c r="C32" t="n">
        <v>150.147321</v>
      </c>
      <c r="D32" t="n">
        <v>482</v>
      </c>
      <c r="E32" t="n">
        <v>8318</v>
      </c>
      <c r="F32" t="n">
        <v>3</v>
      </c>
      <c r="G32" t="n">
        <v>3</v>
      </c>
      <c r="H32" t="n">
        <v>1</v>
      </c>
      <c r="I32" t="n">
        <v>4</v>
      </c>
      <c r="J32" t="n">
        <v>3</v>
      </c>
      <c r="K32" t="n">
        <v>0</v>
      </c>
    </row>
    <row r="33">
      <c r="A33" s="4" t="n">
        <v>46302</v>
      </c>
      <c r="B33" t="inlineStr">
        <is>
          <t>Facebook</t>
        </is>
      </c>
      <c r="C33" t="n">
        <v>24.81717451523546</v>
      </c>
      <c r="D33" t="n">
        <v>259</v>
      </c>
      <c r="E33" t="n">
        <v>5335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</row>
    <row r="34">
      <c r="A34" s="4" t="n">
        <v>46302</v>
      </c>
      <c r="B34" t="inlineStr">
        <is>
          <t>Нет метки</t>
        </is>
      </c>
      <c r="C34" t="n">
        <v/>
      </c>
      <c r="D34" t="n">
        <v/>
      </c>
      <c r="E34" t="n">
        <v/>
      </c>
      <c r="F34" t="n">
        <v>1</v>
      </c>
      <c r="G34" t="n">
        <v>0</v>
      </c>
      <c r="H34" t="n">
        <v>3</v>
      </c>
      <c r="I34" t="n">
        <v>0</v>
      </c>
      <c r="J34" t="n">
        <v>0</v>
      </c>
      <c r="K34" t="n">
        <v>1</v>
      </c>
    </row>
    <row r="35">
      <c r="A35" s="4" t="n">
        <v>46302</v>
      </c>
      <c r="B35" t="inlineStr">
        <is>
          <t>Телефон</t>
        </is>
      </c>
      <c r="C35" t="n">
        <v/>
      </c>
      <c r="D35" t="n">
        <v/>
      </c>
      <c r="E35" t="n">
        <v/>
      </c>
      <c r="F35" t="n">
        <v>12</v>
      </c>
      <c r="G35" t="n">
        <v>12</v>
      </c>
      <c r="H35" t="n">
        <v>1</v>
      </c>
      <c r="I35" t="n">
        <v>0</v>
      </c>
      <c r="J35" t="n">
        <v>0</v>
      </c>
      <c r="K35" t="n">
        <v>0</v>
      </c>
    </row>
    <row r="36">
      <c r="A36" s="4" t="n">
        <v>46302</v>
      </c>
      <c r="B36" t="inlineStr">
        <is>
          <t>Прочее</t>
        </is>
      </c>
      <c r="C36" t="n">
        <v/>
      </c>
      <c r="D36" t="n">
        <v/>
      </c>
      <c r="E36" t="n">
        <v/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4" t="n">
        <v>46303</v>
      </c>
      <c r="B37" t="inlineStr">
        <is>
          <t>Google Ads</t>
        </is>
      </c>
      <c r="C37" t="n">
        <v>236.3385</v>
      </c>
      <c r="D37" t="n">
        <v>1112</v>
      </c>
      <c r="E37" t="n">
        <v>26985</v>
      </c>
      <c r="F37" t="n">
        <v>7</v>
      </c>
      <c r="G37" t="n">
        <v>6</v>
      </c>
      <c r="H37" t="n">
        <v>4</v>
      </c>
      <c r="I37" t="n">
        <v>8</v>
      </c>
      <c r="J37" t="n">
        <v>6</v>
      </c>
      <c r="K37" t="n">
        <v>1</v>
      </c>
    </row>
    <row r="38">
      <c r="A38" s="4" t="n">
        <v>46303</v>
      </c>
      <c r="B38" t="inlineStr">
        <is>
          <t>Facebook</t>
        </is>
      </c>
      <c r="C38" t="n">
        <v>23.98060941828255</v>
      </c>
      <c r="D38" t="n">
        <v>235</v>
      </c>
      <c r="E38" t="n">
        <v>4194</v>
      </c>
      <c r="F38" t="n">
        <v>1</v>
      </c>
      <c r="G38" t="n">
        <v>1</v>
      </c>
      <c r="H38" t="n">
        <v>1</v>
      </c>
      <c r="I38" t="n">
        <v>2</v>
      </c>
      <c r="J38" t="n">
        <v>1</v>
      </c>
      <c r="K38" t="n">
        <v>0</v>
      </c>
    </row>
    <row r="39">
      <c r="A39" s="4" t="n">
        <v>46303</v>
      </c>
      <c r="B39" t="inlineStr">
        <is>
          <t>Нет метки</t>
        </is>
      </c>
      <c r="C39" t="n">
        <v/>
      </c>
      <c r="D39" t="n">
        <v/>
      </c>
      <c r="E39" t="n">
        <v/>
      </c>
      <c r="F39" t="n">
        <v>2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</row>
    <row r="40">
      <c r="A40" s="4" t="n">
        <v>46303</v>
      </c>
      <c r="B40" t="inlineStr">
        <is>
          <t>Телефон</t>
        </is>
      </c>
      <c r="C40" t="n">
        <v/>
      </c>
      <c r="D40" t="n">
        <v/>
      </c>
      <c r="E40" t="n">
        <v/>
      </c>
      <c r="F40" t="n">
        <v>13</v>
      </c>
      <c r="G40" t="n">
        <v>13</v>
      </c>
      <c r="H40" t="n">
        <v>1</v>
      </c>
      <c r="I40" t="n">
        <v>0</v>
      </c>
      <c r="J40" t="n">
        <v>0</v>
      </c>
      <c r="K40" t="n">
        <v>5</v>
      </c>
    </row>
    <row r="41">
      <c r="A41" s="4" t="n">
        <v>46303</v>
      </c>
      <c r="B41" t="inlineStr">
        <is>
          <t>Прочее</t>
        </is>
      </c>
      <c r="C41" t="n">
        <v/>
      </c>
      <c r="D41" t="n">
        <v/>
      </c>
      <c r="E41" t="n">
        <v/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4" t="n">
        <v>46304</v>
      </c>
      <c r="B42" t="inlineStr">
        <is>
          <t>Google Ads</t>
        </is>
      </c>
      <c r="C42" t="n">
        <v>368.02615</v>
      </c>
      <c r="D42" t="n">
        <v>2472</v>
      </c>
      <c r="E42" t="n">
        <v>45974</v>
      </c>
      <c r="F42" t="n">
        <v>6</v>
      </c>
      <c r="G42" t="n">
        <v>6</v>
      </c>
      <c r="H42" t="n">
        <v>2</v>
      </c>
      <c r="I42" t="n">
        <v>7</v>
      </c>
      <c r="J42" t="n">
        <v>6</v>
      </c>
      <c r="K42" t="n">
        <v>0</v>
      </c>
    </row>
    <row r="43">
      <c r="A43" s="4" t="n">
        <v>46304</v>
      </c>
      <c r="B43" t="inlineStr">
        <is>
          <t>Facebook</t>
        </is>
      </c>
      <c r="C43" t="n">
        <v>24.08864265927978</v>
      </c>
      <c r="D43" t="n">
        <v>193</v>
      </c>
      <c r="E43" t="n">
        <v>4011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</row>
    <row r="44">
      <c r="A44" s="4" t="n">
        <v>46304</v>
      </c>
      <c r="B44" t="inlineStr">
        <is>
          <t>Нет метки</t>
        </is>
      </c>
      <c r="C44" t="n">
        <v/>
      </c>
      <c r="D44" t="n">
        <v/>
      </c>
      <c r="E44" t="n">
        <v/>
      </c>
      <c r="F44" t="n">
        <v>3</v>
      </c>
      <c r="G44" t="n">
        <v>2</v>
      </c>
      <c r="H44" t="n">
        <v>0</v>
      </c>
      <c r="I44" t="n">
        <v>0</v>
      </c>
      <c r="J44" t="n">
        <v>0</v>
      </c>
      <c r="K44" t="n">
        <v>1</v>
      </c>
    </row>
    <row r="45">
      <c r="A45" s="4" t="n">
        <v>46304</v>
      </c>
      <c r="B45" t="inlineStr">
        <is>
          <t>Телефон</t>
        </is>
      </c>
      <c r="C45" t="n">
        <v/>
      </c>
      <c r="D45" t="n">
        <v/>
      </c>
      <c r="E45" t="n">
        <v/>
      </c>
      <c r="F45" t="n">
        <v>13</v>
      </c>
      <c r="G45" t="n">
        <v>13</v>
      </c>
      <c r="H45" t="n">
        <v>2</v>
      </c>
      <c r="I45" t="n">
        <v>0</v>
      </c>
      <c r="J45" t="n">
        <v>0</v>
      </c>
      <c r="K45" t="n">
        <v>4</v>
      </c>
    </row>
    <row r="46">
      <c r="A46" s="4" t="n">
        <v>46304</v>
      </c>
      <c r="B46" t="inlineStr">
        <is>
          <t>Прочее</t>
        </is>
      </c>
      <c r="C46" t="n">
        <v/>
      </c>
      <c r="D46" t="n">
        <v/>
      </c>
      <c r="E46" t="n">
        <v/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4" t="n">
        <v>46305</v>
      </c>
      <c r="B47" t="inlineStr">
        <is>
          <t>Google Ads</t>
        </is>
      </c>
      <c r="C47" t="n">
        <v>72.25011600000001</v>
      </c>
      <c r="D47" t="n">
        <v>138</v>
      </c>
      <c r="E47" t="n">
        <v>2023</v>
      </c>
      <c r="F47" t="n">
        <v>2</v>
      </c>
      <c r="G47" t="n">
        <v>2</v>
      </c>
      <c r="H47" t="n">
        <v>0</v>
      </c>
      <c r="I47" t="n">
        <v>2</v>
      </c>
      <c r="J47" t="n">
        <v>2</v>
      </c>
      <c r="K47" t="n">
        <v>0</v>
      </c>
    </row>
    <row r="48">
      <c r="A48" s="4" t="n">
        <v>46305</v>
      </c>
      <c r="B48" t="inlineStr">
        <is>
          <t>Facebook</t>
        </is>
      </c>
      <c r="C48" t="n">
        <v>22.62326869806094</v>
      </c>
      <c r="D48" t="n">
        <v>236</v>
      </c>
      <c r="E48" t="n">
        <v>4123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</row>
    <row r="49">
      <c r="A49" s="4" t="n">
        <v>46305</v>
      </c>
      <c r="B49" t="inlineStr">
        <is>
          <t>Нет метки</t>
        </is>
      </c>
      <c r="C49" t="n">
        <v/>
      </c>
      <c r="D49" t="n">
        <v/>
      </c>
      <c r="E49" t="n">
        <v/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</row>
    <row r="50">
      <c r="A50" s="4" t="n">
        <v>46305</v>
      </c>
      <c r="B50" t="inlineStr">
        <is>
          <t>Телефон</t>
        </is>
      </c>
      <c r="C50" t="n">
        <v/>
      </c>
      <c r="D50" t="n">
        <v/>
      </c>
      <c r="E50" t="n">
        <v/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4" t="n">
        <v>46305</v>
      </c>
      <c r="B51" t="inlineStr">
        <is>
          <t>Прочее</t>
        </is>
      </c>
      <c r="C51" t="n">
        <v/>
      </c>
      <c r="D51" t="n">
        <v/>
      </c>
      <c r="E51" t="n">
        <v/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4" t="n">
        <v>46306</v>
      </c>
      <c r="B52" t="inlineStr">
        <is>
          <t>Google Ads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4" t="n">
        <v>46306</v>
      </c>
      <c r="B53" t="inlineStr">
        <is>
          <t>Facebook</t>
        </is>
      </c>
      <c r="C53" t="n">
        <v>28.67313019390582</v>
      </c>
      <c r="D53" t="n">
        <v>274</v>
      </c>
      <c r="E53" t="n">
        <v>5604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4" t="n">
        <v>46306</v>
      </c>
      <c r="B54" t="inlineStr">
        <is>
          <t>Нет метки</t>
        </is>
      </c>
      <c r="C54" t="n">
        <v/>
      </c>
      <c r="D54" t="n">
        <v/>
      </c>
      <c r="E54" t="n">
        <v/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</row>
    <row r="55">
      <c r="A55" s="4" t="n">
        <v>46306</v>
      </c>
      <c r="B55" t="inlineStr">
        <is>
          <t>Телефон</t>
        </is>
      </c>
      <c r="C55" t="n">
        <v/>
      </c>
      <c r="D55" t="n">
        <v/>
      </c>
      <c r="E55" t="n">
        <v/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4" t="n">
        <v>46306</v>
      </c>
      <c r="B56" t="inlineStr">
        <is>
          <t>Прочее</t>
        </is>
      </c>
      <c r="C56" t="n">
        <v/>
      </c>
      <c r="D56" t="n">
        <v/>
      </c>
      <c r="E56" t="n">
        <v/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4" t="n">
        <v>46307</v>
      </c>
      <c r="B57" t="inlineStr">
        <is>
          <t>Google Ads</t>
        </is>
      </c>
      <c r="C57" t="n">
        <v>415.224947</v>
      </c>
      <c r="D57" t="n">
        <v>2037</v>
      </c>
      <c r="E57" t="n">
        <v>34109</v>
      </c>
      <c r="F57" t="n">
        <v>13</v>
      </c>
      <c r="G57" t="n">
        <v>11</v>
      </c>
      <c r="H57" t="n">
        <v>3</v>
      </c>
      <c r="I57" t="n">
        <v>13</v>
      </c>
      <c r="J57" t="n">
        <v>11</v>
      </c>
      <c r="K57" t="n">
        <v>3</v>
      </c>
    </row>
    <row r="58">
      <c r="A58" s="4" t="n">
        <v>46307</v>
      </c>
      <c r="B58" t="inlineStr">
        <is>
          <t>Facebook</t>
        </is>
      </c>
      <c r="C58" t="n">
        <v>31.86149584487535</v>
      </c>
      <c r="D58" t="n">
        <v>332</v>
      </c>
      <c r="E58" t="n">
        <v>6709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4" t="n">
        <v>46307</v>
      </c>
      <c r="B59" t="inlineStr">
        <is>
          <t>Нет метки</t>
        </is>
      </c>
      <c r="C59" t="n">
        <v/>
      </c>
      <c r="D59" t="n">
        <v/>
      </c>
      <c r="E59" t="n">
        <v/>
      </c>
      <c r="F59" t="n">
        <v>4</v>
      </c>
      <c r="G59" t="n">
        <v>2</v>
      </c>
      <c r="H59" t="n">
        <v>4</v>
      </c>
      <c r="I59" t="n">
        <v>1</v>
      </c>
      <c r="J59" t="n">
        <v>0</v>
      </c>
      <c r="K59" t="n">
        <v>2</v>
      </c>
    </row>
    <row r="60">
      <c r="A60" s="4" t="n">
        <v>46307</v>
      </c>
      <c r="B60" t="inlineStr">
        <is>
          <t>Телефон</t>
        </is>
      </c>
      <c r="C60" t="n">
        <v/>
      </c>
      <c r="D60" t="n">
        <v/>
      </c>
      <c r="E60" t="n">
        <v/>
      </c>
      <c r="F60" t="n">
        <v>8</v>
      </c>
      <c r="G60" t="n">
        <v>8</v>
      </c>
      <c r="H60" t="n">
        <v>2</v>
      </c>
      <c r="I60" t="n">
        <v>0</v>
      </c>
      <c r="J60" t="n">
        <v>0</v>
      </c>
      <c r="K60" t="n">
        <v>4</v>
      </c>
    </row>
    <row r="61">
      <c r="A61" s="4" t="n">
        <v>46307</v>
      </c>
      <c r="B61" t="inlineStr">
        <is>
          <t>Прочее</t>
        </is>
      </c>
      <c r="C61" t="n">
        <v/>
      </c>
      <c r="D61" t="n">
        <v/>
      </c>
      <c r="E61" t="n">
        <v/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4" t="n">
        <v>46308</v>
      </c>
      <c r="B62" t="inlineStr">
        <is>
          <t>Google Ads</t>
        </is>
      </c>
      <c r="C62" t="n">
        <v>279.3299</v>
      </c>
      <c r="D62" t="n">
        <v>1813</v>
      </c>
      <c r="E62" t="n">
        <v>40733</v>
      </c>
      <c r="F62" t="n">
        <v>8</v>
      </c>
      <c r="G62" t="n">
        <v>6</v>
      </c>
      <c r="H62" t="n">
        <v>8</v>
      </c>
      <c r="I62" t="n">
        <v>9</v>
      </c>
      <c r="J62" t="n">
        <v>5</v>
      </c>
      <c r="K62" t="n">
        <v>2</v>
      </c>
    </row>
    <row r="63">
      <c r="A63" s="4" t="n">
        <v>46308</v>
      </c>
      <c r="B63" t="inlineStr">
        <is>
          <t>Facebook</t>
        </is>
      </c>
      <c r="C63" t="n">
        <v>36.29362880886427</v>
      </c>
      <c r="D63" t="n">
        <v>349</v>
      </c>
      <c r="E63" t="n">
        <v>7677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4" t="n">
        <v>46308</v>
      </c>
      <c r="B64" t="inlineStr">
        <is>
          <t>Нет метки</t>
        </is>
      </c>
      <c r="C64" t="n">
        <v/>
      </c>
      <c r="D64" t="n">
        <v/>
      </c>
      <c r="E64" t="n">
        <v/>
      </c>
      <c r="F64" t="n">
        <v>3</v>
      </c>
      <c r="G64" t="n">
        <v>1</v>
      </c>
      <c r="H64" t="n">
        <v>1</v>
      </c>
      <c r="I64" t="n">
        <v>0</v>
      </c>
      <c r="J64" t="n">
        <v>0</v>
      </c>
      <c r="K64" t="n">
        <v>2</v>
      </c>
    </row>
    <row r="65">
      <c r="A65" s="4" t="n">
        <v>46308</v>
      </c>
      <c r="B65" t="inlineStr">
        <is>
          <t>Телефон</t>
        </is>
      </c>
      <c r="C65" t="n">
        <v/>
      </c>
      <c r="D65" t="n">
        <v/>
      </c>
      <c r="E65" t="n">
        <v/>
      </c>
      <c r="F65" t="n">
        <v>4</v>
      </c>
      <c r="G65" t="n">
        <v>4</v>
      </c>
      <c r="H65" t="n">
        <v>1</v>
      </c>
      <c r="I65" t="n">
        <v>0</v>
      </c>
      <c r="J65" t="n">
        <v>0</v>
      </c>
      <c r="K65" t="n">
        <v>2</v>
      </c>
    </row>
    <row r="66">
      <c r="A66" s="4" t="n">
        <v>46308</v>
      </c>
      <c r="B66" t="inlineStr">
        <is>
          <t>Прочее</t>
        </is>
      </c>
      <c r="C66" t="n">
        <v/>
      </c>
      <c r="D66" t="n">
        <v/>
      </c>
      <c r="E66" t="n">
        <v/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4" t="n">
        <v>46309</v>
      </c>
      <c r="B67" t="inlineStr">
        <is>
          <t>Google Ads</t>
        </is>
      </c>
      <c r="C67" t="n">
        <v>377.432299</v>
      </c>
      <c r="D67" t="n">
        <v>2892</v>
      </c>
      <c r="E67" t="n">
        <v>81437</v>
      </c>
      <c r="F67" t="n">
        <v>10</v>
      </c>
      <c r="G67" t="n">
        <v>8</v>
      </c>
      <c r="H67" t="n">
        <v>3</v>
      </c>
      <c r="I67" t="n">
        <v>10</v>
      </c>
      <c r="J67" t="n">
        <v>8</v>
      </c>
      <c r="K67" t="n">
        <v>1</v>
      </c>
    </row>
    <row r="68">
      <c r="A68" s="4" t="n">
        <v>46309</v>
      </c>
      <c r="B68" t="inlineStr">
        <is>
          <t>Facebook</t>
        </is>
      </c>
      <c r="C68" t="n">
        <v>33.37119113573407</v>
      </c>
      <c r="D68" t="n">
        <v>353</v>
      </c>
      <c r="E68" t="n">
        <v>7707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4" t="n">
        <v>46309</v>
      </c>
      <c r="B69" t="inlineStr">
        <is>
          <t>Нет метки</t>
        </is>
      </c>
      <c r="C69" t="n">
        <v/>
      </c>
      <c r="D69" t="n">
        <v/>
      </c>
      <c r="E69" t="n">
        <v/>
      </c>
      <c r="F69" t="n">
        <v>2</v>
      </c>
      <c r="G69" t="n">
        <v>2</v>
      </c>
      <c r="H69" t="n">
        <v>2</v>
      </c>
      <c r="I69" t="n">
        <v>0</v>
      </c>
      <c r="J69" t="n">
        <v>0</v>
      </c>
      <c r="K69" t="n">
        <v>0</v>
      </c>
    </row>
    <row r="70">
      <c r="A70" s="4" t="n">
        <v>46309</v>
      </c>
      <c r="B70" t="inlineStr">
        <is>
          <t>Телефон</t>
        </is>
      </c>
      <c r="C70" t="n">
        <v/>
      </c>
      <c r="D70" t="n">
        <v/>
      </c>
      <c r="E70" t="n">
        <v/>
      </c>
      <c r="F70" t="n">
        <v>5</v>
      </c>
      <c r="G70" t="n">
        <v>5</v>
      </c>
      <c r="H70" t="n">
        <v>1</v>
      </c>
      <c r="I70" t="n">
        <v>0</v>
      </c>
      <c r="J70" t="n">
        <v>0</v>
      </c>
      <c r="K70" t="n">
        <v>3</v>
      </c>
    </row>
    <row r="71">
      <c r="A71" s="4" t="n">
        <v>46309</v>
      </c>
      <c r="B71" t="inlineStr">
        <is>
          <t>Прочее</t>
        </is>
      </c>
      <c r="C71" t="n">
        <v/>
      </c>
      <c r="D71" t="n">
        <v/>
      </c>
      <c r="E71" t="n">
        <v/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4" t="n">
        <v>46310</v>
      </c>
      <c r="B72" t="inlineStr">
        <is>
          <t>Google Ads</t>
        </is>
      </c>
      <c r="C72" t="n">
        <v>233.624079</v>
      </c>
      <c r="D72" t="n">
        <v>2106</v>
      </c>
      <c r="E72" t="n">
        <v>49698</v>
      </c>
      <c r="F72" t="n">
        <v>11</v>
      </c>
      <c r="G72" t="n">
        <v>8</v>
      </c>
      <c r="H72" t="n">
        <v>5</v>
      </c>
      <c r="I72" t="n">
        <v>9</v>
      </c>
      <c r="J72" t="n">
        <v>7</v>
      </c>
      <c r="K72" t="n">
        <v>2</v>
      </c>
    </row>
    <row r="73">
      <c r="A73" s="4" t="n">
        <v>46310</v>
      </c>
      <c r="B73" t="inlineStr">
        <is>
          <t>Facebook</t>
        </is>
      </c>
      <c r="C73" t="n">
        <v>38.03601108033241</v>
      </c>
      <c r="D73" t="n">
        <v>324</v>
      </c>
      <c r="E73" t="n">
        <v>7568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4" t="n">
        <v>46310</v>
      </c>
      <c r="B74" t="inlineStr">
        <is>
          <t>Нет метки</t>
        </is>
      </c>
      <c r="C74" t="n">
        <v/>
      </c>
      <c r="D74" t="n">
        <v/>
      </c>
      <c r="E74" t="n">
        <v/>
      </c>
      <c r="F74" t="n">
        <v>3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</row>
    <row r="75">
      <c r="A75" s="4" t="n">
        <v>46310</v>
      </c>
      <c r="B75" t="inlineStr">
        <is>
          <t>Телефон</t>
        </is>
      </c>
      <c r="C75" t="n">
        <v/>
      </c>
      <c r="D75" t="n">
        <v/>
      </c>
      <c r="E75" t="n">
        <v/>
      </c>
      <c r="F75" t="n">
        <v>5</v>
      </c>
      <c r="G75" t="n">
        <v>5</v>
      </c>
      <c r="H75" t="n">
        <v>0</v>
      </c>
      <c r="I75" t="n">
        <v>0</v>
      </c>
      <c r="J75" t="n">
        <v>0</v>
      </c>
      <c r="K75" t="n">
        <v>4</v>
      </c>
    </row>
    <row r="76">
      <c r="A76" s="4" t="n">
        <v>46310</v>
      </c>
      <c r="B76" t="inlineStr">
        <is>
          <t>Прочее</t>
        </is>
      </c>
      <c r="C76" t="n">
        <v/>
      </c>
      <c r="D76" t="n">
        <v/>
      </c>
      <c r="E76" t="n">
        <v/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4" t="n">
        <v>46311</v>
      </c>
      <c r="B77" t="inlineStr">
        <is>
          <t>Google Ads</t>
        </is>
      </c>
      <c r="C77" t="n">
        <v>95.71524599999999</v>
      </c>
      <c r="D77" t="n">
        <v>761</v>
      </c>
      <c r="E77" t="n">
        <v>13566</v>
      </c>
      <c r="F77" t="n">
        <v>5</v>
      </c>
      <c r="G77" t="n">
        <v>4</v>
      </c>
      <c r="H77" t="n">
        <v>5</v>
      </c>
      <c r="I77" t="n">
        <v>6</v>
      </c>
      <c r="J77" t="n">
        <v>4</v>
      </c>
      <c r="K77" t="n">
        <v>1</v>
      </c>
    </row>
    <row r="78">
      <c r="A78" s="4" t="n">
        <v>46311</v>
      </c>
      <c r="B78" t="inlineStr">
        <is>
          <t>Facebook</t>
        </is>
      </c>
      <c r="C78" t="n">
        <v>29.99168975069252</v>
      </c>
      <c r="D78" t="n">
        <v>289</v>
      </c>
      <c r="E78" t="n">
        <v>6084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4" t="n">
        <v>46311</v>
      </c>
      <c r="B79" t="inlineStr">
        <is>
          <t>Нет метки</t>
        </is>
      </c>
      <c r="C79" t="n">
        <v/>
      </c>
      <c r="D79" t="n">
        <v/>
      </c>
      <c r="E79" t="n">
        <v/>
      </c>
      <c r="F79" t="n">
        <v>3</v>
      </c>
      <c r="G79" t="n">
        <v>1</v>
      </c>
      <c r="H79" t="n">
        <v>5</v>
      </c>
      <c r="I79" t="n">
        <v>3</v>
      </c>
      <c r="J79" t="n">
        <v>0</v>
      </c>
      <c r="K79" t="n">
        <v>3</v>
      </c>
    </row>
    <row r="80">
      <c r="A80" s="4" t="n">
        <v>46311</v>
      </c>
      <c r="B80" t="inlineStr">
        <is>
          <t>Телефон</t>
        </is>
      </c>
      <c r="C80" t="n">
        <v/>
      </c>
      <c r="D80" t="n">
        <v/>
      </c>
      <c r="E80" t="n">
        <v/>
      </c>
      <c r="F80" t="n">
        <v>6</v>
      </c>
      <c r="G80" t="n">
        <v>6</v>
      </c>
      <c r="H80" t="n">
        <v>2</v>
      </c>
      <c r="I80" t="n">
        <v>0</v>
      </c>
      <c r="J80" t="n">
        <v>0</v>
      </c>
      <c r="K80" t="n">
        <v>4</v>
      </c>
    </row>
    <row r="81">
      <c r="A81" s="4" t="n">
        <v>46311</v>
      </c>
      <c r="B81" t="inlineStr">
        <is>
          <t>Прочее</t>
        </is>
      </c>
      <c r="C81" t="n">
        <v/>
      </c>
      <c r="D81" t="n">
        <v/>
      </c>
      <c r="E81" t="n">
        <v/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4" t="n">
        <v>46312</v>
      </c>
      <c r="B82" t="inlineStr">
        <is>
          <t>Google Ads</t>
        </is>
      </c>
      <c r="C82" t="n">
        <v>29.42</v>
      </c>
      <c r="D82" t="n">
        <v>81</v>
      </c>
      <c r="E82" t="n">
        <v>1101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4" t="n">
        <v>46312</v>
      </c>
      <c r="B83" t="inlineStr">
        <is>
          <t>Facebook</t>
        </is>
      </c>
      <c r="C83" t="n">
        <v>29.43490304709141</v>
      </c>
      <c r="D83" t="n">
        <v>292</v>
      </c>
      <c r="E83" t="n">
        <v>5811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</row>
    <row r="84">
      <c r="A84" s="4" t="n">
        <v>46312</v>
      </c>
      <c r="B84" t="inlineStr">
        <is>
          <t>Нет метки</t>
        </is>
      </c>
      <c r="C84" t="n">
        <v/>
      </c>
      <c r="D84" t="n">
        <v/>
      </c>
      <c r="E84" t="n">
        <v/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4" t="n">
        <v>46312</v>
      </c>
      <c r="B85" t="inlineStr">
        <is>
          <t>Телефон</t>
        </is>
      </c>
      <c r="C85" t="n">
        <v/>
      </c>
      <c r="D85" t="n">
        <v/>
      </c>
      <c r="E85" t="n">
        <v/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4" t="n">
        <v>46312</v>
      </c>
      <c r="B86" t="inlineStr">
        <is>
          <t>Прочее</t>
        </is>
      </c>
      <c r="C86" t="n">
        <v/>
      </c>
      <c r="D86" t="n">
        <v/>
      </c>
      <c r="E86" t="n">
        <v/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4" t="n">
        <v>46313</v>
      </c>
      <c r="B87" t="inlineStr">
        <is>
          <t>Google Ads</t>
        </is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</row>
    <row r="88">
      <c r="A88" s="4" t="n">
        <v>46313</v>
      </c>
      <c r="B88" t="inlineStr">
        <is>
          <t>Facebook</t>
        </is>
      </c>
      <c r="C88" t="n">
        <v>47.34072022160665</v>
      </c>
      <c r="D88" t="n">
        <v>501</v>
      </c>
      <c r="E88" t="n">
        <v>10302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4" t="n">
        <v>46313</v>
      </c>
      <c r="B89" t="inlineStr">
        <is>
          <t>Нет метки</t>
        </is>
      </c>
      <c r="C89" t="n">
        <v/>
      </c>
      <c r="D89" t="n">
        <v/>
      </c>
      <c r="E89" t="n">
        <v/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4" t="n">
        <v>46313</v>
      </c>
      <c r="B90" t="inlineStr">
        <is>
          <t>Телефон</t>
        </is>
      </c>
      <c r="C90" t="n">
        <v/>
      </c>
      <c r="D90" t="n">
        <v/>
      </c>
      <c r="E90" t="n">
        <v/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4" t="n">
        <v>46313</v>
      </c>
      <c r="B91" t="inlineStr">
        <is>
          <t>Прочее</t>
        </is>
      </c>
      <c r="C91" t="n">
        <v/>
      </c>
      <c r="D91" t="n">
        <v/>
      </c>
      <c r="E91" t="n">
        <v/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4" t="n">
        <v>46314</v>
      </c>
      <c r="B92" t="inlineStr">
        <is>
          <t>Google Ads</t>
        </is>
      </c>
      <c r="C92" t="n">
        <v>128.247948</v>
      </c>
      <c r="D92" t="n">
        <v>868</v>
      </c>
      <c r="E92" t="n">
        <v>13906</v>
      </c>
      <c r="F92" t="n">
        <v>7</v>
      </c>
      <c r="G92" t="n">
        <v>5</v>
      </c>
      <c r="H92" t="n">
        <v>7</v>
      </c>
      <c r="I92" t="n">
        <v>5</v>
      </c>
      <c r="J92" t="n">
        <v>4</v>
      </c>
      <c r="K92" t="n">
        <v>3</v>
      </c>
    </row>
    <row r="93">
      <c r="A93" s="4" t="n">
        <v>46314</v>
      </c>
      <c r="B93" t="inlineStr">
        <is>
          <t>Facebook</t>
        </is>
      </c>
      <c r="C93" t="n">
        <v>39.18559556786704</v>
      </c>
      <c r="D93" t="n">
        <v>463</v>
      </c>
      <c r="E93" t="n">
        <v>9175</v>
      </c>
      <c r="F93" t="n">
        <v>2</v>
      </c>
      <c r="G93" t="n">
        <v>2</v>
      </c>
      <c r="H93" t="n">
        <v>1</v>
      </c>
      <c r="I93" t="n">
        <v>3</v>
      </c>
      <c r="J93" t="n">
        <v>2</v>
      </c>
      <c r="K93" t="n">
        <v>0</v>
      </c>
    </row>
    <row r="94">
      <c r="A94" s="4" t="n">
        <v>46314</v>
      </c>
      <c r="B94" t="inlineStr">
        <is>
          <t>Нет метки</t>
        </is>
      </c>
      <c r="C94" t="n">
        <v/>
      </c>
      <c r="D94" t="n">
        <v/>
      </c>
      <c r="E94" t="n">
        <v/>
      </c>
      <c r="F94" t="n">
        <v>3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</row>
    <row r="95">
      <c r="A95" s="4" t="n">
        <v>46314</v>
      </c>
      <c r="B95" t="inlineStr">
        <is>
          <t>Телефон</t>
        </is>
      </c>
      <c r="C95" t="n">
        <v/>
      </c>
      <c r="D95" t="n">
        <v/>
      </c>
      <c r="E95" t="n">
        <v/>
      </c>
      <c r="F95" t="n">
        <v>7</v>
      </c>
      <c r="G95" t="n">
        <v>7</v>
      </c>
      <c r="H95" t="n">
        <v>1</v>
      </c>
      <c r="I95" t="n">
        <v>0</v>
      </c>
      <c r="J95" t="n">
        <v>0</v>
      </c>
      <c r="K95" t="n">
        <v>6</v>
      </c>
    </row>
    <row r="96">
      <c r="A96" s="4" t="n">
        <v>46314</v>
      </c>
      <c r="B96" t="inlineStr">
        <is>
          <t>Прочее</t>
        </is>
      </c>
      <c r="C96" t="n">
        <v/>
      </c>
      <c r="D96" t="n">
        <v/>
      </c>
      <c r="E96" t="n">
        <v/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4" t="n">
        <v>46315</v>
      </c>
      <c r="B97" t="inlineStr">
        <is>
          <t>Google Ads</t>
        </is>
      </c>
      <c r="C97" t="n">
        <v>153.231109</v>
      </c>
      <c r="D97" t="n">
        <v>1128</v>
      </c>
      <c r="E97" t="n">
        <v>19793</v>
      </c>
      <c r="F97" t="n">
        <v>6</v>
      </c>
      <c r="G97" t="n">
        <v>3</v>
      </c>
      <c r="H97" t="n">
        <v>6</v>
      </c>
      <c r="I97" t="n">
        <v>7</v>
      </c>
      <c r="J97" t="n">
        <v>3</v>
      </c>
      <c r="K97" t="n">
        <v>3</v>
      </c>
    </row>
    <row r="98">
      <c r="A98" s="4" t="n">
        <v>46315</v>
      </c>
      <c r="B98" t="inlineStr">
        <is>
          <t>Facebook</t>
        </is>
      </c>
      <c r="C98" t="n">
        <v>40.49861495844875</v>
      </c>
      <c r="D98" t="n">
        <v>499</v>
      </c>
      <c r="E98" t="n">
        <v>11122</v>
      </c>
      <c r="F98" t="n">
        <v>3</v>
      </c>
      <c r="G98" t="n">
        <v>2</v>
      </c>
      <c r="H98" t="n">
        <v>1</v>
      </c>
      <c r="I98" t="n">
        <v>2</v>
      </c>
      <c r="J98" t="n">
        <v>2</v>
      </c>
      <c r="K98" t="n">
        <v>0</v>
      </c>
    </row>
    <row r="99">
      <c r="A99" s="4" t="n">
        <v>46315</v>
      </c>
      <c r="B99" t="inlineStr">
        <is>
          <t>Нет метки</t>
        </is>
      </c>
      <c r="C99" t="n">
        <v/>
      </c>
      <c r="D99" t="n">
        <v/>
      </c>
      <c r="E99" t="n">
        <v/>
      </c>
      <c r="F99" t="n">
        <v>3</v>
      </c>
      <c r="G99" t="n">
        <v>1</v>
      </c>
      <c r="H99" t="n">
        <v>2</v>
      </c>
      <c r="I99" t="n">
        <v>1</v>
      </c>
      <c r="J99" t="n">
        <v>0</v>
      </c>
      <c r="K99" t="n">
        <v>2</v>
      </c>
    </row>
    <row r="100">
      <c r="A100" s="4" t="n">
        <v>46315</v>
      </c>
      <c r="B100" t="inlineStr">
        <is>
          <t>Телефон</t>
        </is>
      </c>
      <c r="C100" t="n">
        <v/>
      </c>
      <c r="D100" t="n">
        <v/>
      </c>
      <c r="E100" t="n">
        <v/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3</v>
      </c>
    </row>
    <row r="101">
      <c r="A101" s="4" t="n">
        <v>46315</v>
      </c>
      <c r="B101" t="inlineStr">
        <is>
          <t>Прочее</t>
        </is>
      </c>
      <c r="C101" t="n">
        <v/>
      </c>
      <c r="D101" t="n">
        <v/>
      </c>
      <c r="E101" t="n">
        <v/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13" t="inlineStr">
        <is>
          <t>Период</t>
        </is>
      </c>
      <c r="B1" s="13" t="inlineStr">
        <is>
          <t>Начало</t>
        </is>
      </c>
      <c r="C1" s="13" t="inlineStr">
        <is>
          <t>Конец</t>
        </is>
      </c>
    </row>
    <row r="2">
      <c r="A2" t="inlineStr">
        <is>
          <t>Текущий месяц</t>
        </is>
      </c>
      <c r="B2" s="4">
        <f>DATE(YEAR(TODAY()),MONTH(TODAY()),1)</f>
        <v/>
      </c>
      <c r="C2" s="4">
        <f>EOMONTH(TODAY(),0)</f>
        <v/>
      </c>
    </row>
    <row r="3">
      <c r="A3" t="inlineStr">
        <is>
          <t>Прошлый месяц</t>
        </is>
      </c>
      <c r="B3" s="4">
        <f>EOMONTH(TODAY(),-2)+1</f>
        <v/>
      </c>
      <c r="C3" s="4">
        <f>EOMONTH(TODAY(),-1)</f>
        <v/>
      </c>
    </row>
    <row r="4">
      <c r="A4" t="inlineStr">
        <is>
          <t>Текущая неделя</t>
        </is>
      </c>
      <c r="B4" s="4">
        <f>TODAY()-WEEKDAY(TODAY(),2)+1</f>
        <v/>
      </c>
      <c r="C4" s="4">
        <f>B4+6</f>
        <v/>
      </c>
    </row>
    <row r="5">
      <c r="A5" t="inlineStr">
        <is>
          <t>Прошлая неделя</t>
        </is>
      </c>
      <c r="B5" s="4">
        <f>TODAY()-WEEKDAY(TODAY(),2)-6</f>
        <v/>
      </c>
      <c r="C5" s="4">
        <f>B5+6</f>
        <v/>
      </c>
    </row>
    <row r="6">
      <c r="A6" t="inlineStr">
        <is>
          <t>Последние 7 дней</t>
        </is>
      </c>
      <c r="B6" s="4">
        <f>TODAY()-7</f>
        <v/>
      </c>
      <c r="C6" s="4">
        <f>TODAY()-1</f>
        <v/>
      </c>
    </row>
    <row r="7">
      <c r="A7" t="inlineStr">
        <is>
          <t>Последние 30 дней</t>
        </is>
      </c>
      <c r="B7" s="4">
        <f>TODAY()-30</f>
        <v/>
      </c>
      <c r="C7" s="4">
        <f>TODAY()-1</f>
        <v/>
      </c>
    </row>
    <row r="8">
      <c r="A8" t="inlineStr">
        <is>
          <t>Весь период (01.10.2026–20.10.2026)</t>
        </is>
      </c>
      <c r="B8" s="4" t="n">
        <v>46296</v>
      </c>
      <c r="C8" s="4" t="n">
        <v>46315</v>
      </c>
    </row>
    <row r="9">
      <c r="A9" t="inlineStr">
        <is>
          <t>Октябрь 2026</t>
        </is>
      </c>
      <c r="B9" s="4" t="n">
        <v>46296</v>
      </c>
      <c r="C9" s="4" t="n">
        <v>46315</v>
      </c>
    </row>
    <row r="10">
      <c r="A10" t="inlineStr">
        <is>
          <t>Неделя 01.10–04.10.2026</t>
        </is>
      </c>
      <c r="B10" s="4" t="n">
        <v>46296</v>
      </c>
      <c r="C10" s="4" t="n">
        <v>46299</v>
      </c>
    </row>
    <row r="11">
      <c r="A11" t="inlineStr">
        <is>
          <t>Неделя 05.10–11.10.2026</t>
        </is>
      </c>
      <c r="B11" s="4" t="n">
        <v>46300</v>
      </c>
      <c r="C11" s="4" t="n">
        <v>46306</v>
      </c>
    </row>
    <row r="12">
      <c r="A12" t="inlineStr">
        <is>
          <t>Неделя 12.10–18.10.2026</t>
        </is>
      </c>
      <c r="B12" s="4" t="n">
        <v>46307</v>
      </c>
      <c r="C12" s="4" t="n">
        <v>46313</v>
      </c>
    </row>
    <row r="13">
      <c r="A13" t="inlineStr">
        <is>
          <t>Неделя 19.10–20.10.2026</t>
        </is>
      </c>
      <c r="B13" s="4" t="n">
        <v>46314</v>
      </c>
      <c r="C13" s="4" t="n">
        <v>46315</v>
      </c>
    </row>
    <row r="14">
      <c r="A14" t="inlineStr">
        <is>
          <t>Свой период</t>
        </is>
      </c>
      <c r="B14" s="4" t="n"/>
      <c r="C1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4" t="inlineStr">
        <is>
          <t>Цена, клики, показы: Google Ads — из Google Ads API по аккаунту целиком; Facebook — из BigQuery adwhite.fb_stats_profimet (там доллары, в евро пересчитано по курсу из параметра --usd-eur).</t>
        </is>
      </c>
    </row>
    <row r="2">
      <c r="A2" s="14" t="inlineStr">
        <is>
          <t>Конверсии: новые обращения (звонки и формы) из выгрузки CRM по правилу 60 дней — обращение новое, если у этого номера не было засчитанного нового обращения за последние 60 дней (окно от последнего засчитанного, повторы окно не продлевают).</t>
        </is>
      </c>
    </row>
    <row r="3">
      <c r="A3" s="14" t="inlineStr">
        <is>
          <t>Звонки: из конверсий те, что звонки (показаны только у Google Ads и Facebook).</t>
        </is>
      </c>
    </row>
    <row r="4">
      <c r="A4" s="14" t="inlineStr">
        <is>
          <t>Продажи: проданные заказы (в выгрузке есть «Дата продажи» в периоде); источник продажи — источник первого обращения этого номера за 60 дней до первой строки заказа. Количества товара в выгрузке нет, поэтому это заказы, а не единицы.</t>
        </is>
      </c>
    </row>
    <row r="5">
      <c r="A5" s="14" t="inlineStr">
        <is>
          <t>% конверсии = Конверсии ÷ Клики; Цена заявки = Цена ÷ Конверсии; % продажи = Продажи ÷ Конверсии; Цена продажи = Цена ÷ Продажи; CTR = Клики ÷ Показы; Цена клика = Цена ÷ Клики. «Итого»: цена, клики, показы — Google + Facebook; конверсии и продажи — по всем строкам.</t>
        </is>
      </c>
    </row>
    <row r="6">
      <c r="A6" s="14" t="inlineStr">
        <is>
          <t>Курс USD→EUR для Facebook — ячейка B5 листа «Дашборд» (допущение; в BigQuery расход хранится в долларах).</t>
        </is>
      </c>
    </row>
    <row r="7">
      <c r="A7" s="14" t="inlineStr">
        <is>
          <t>Режим B7: «Наш» — конверсии и звонки по нашему правилу 60 дней из выгрузки CRM; «Как у клиента» — звонки: первый звонок номера за всю историю Ringostat (входящие, отслеживаемые каналы), формы: сеансы GA4 form_submit по источнику сеанса (google / cpc → Google Ads, facebook* → Facebook, остальное → Нет метки); подтверждено на двух периодах скринов клиента 2026-10-20. Продажи в режиме «Как у клиента»: источник заказа по правилу клиента (есть форма → источник формы, нет формы → «Телефон»), дата заказа = дата первой строки (UTC), количество товара из списка клиента, где он есть, иначе 1; в режиме «Наш» продажи по первому обращению за 60 дней.</t>
        </is>
      </c>
    </row>
    <row r="8">
      <c r="A8" s="14" t="inlineStr">
        <is>
          <t>Лист «Заказы по схеме клиента»: правила, которые использует клиент (как мы их поняли), применены к данным нашей выгрузки CRM. Поэтому в нём есть заказы, которых нет в дашборде клиента, и нет заказов клиента, которых нет в выгрузке CRM; все такие случаи с причинами на листе «Расхождения».</t>
        </is>
      </c>
    </row>
    <row r="9">
      <c r="A9" s="14" t="inlineStr">
        <is>
          <t>Период выбирается в ячейке B2 листа «Дашборд»; для «Свой период» даты вводятся в E3 и E4. «Текущий месяц» и «Текущая неделя» считаются от сегодняшней даты, но данных нет позже даты, указанной в B6 (данные обновляются повторным запуском скрипта profimet_sources_dashboard.py).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40" customWidth="1" min="4" max="4"/>
    <col width="8" customWidth="1" min="5" max="5"/>
    <col width="22" customWidth="1" min="6" max="6"/>
    <col width="22" customWidth="1" min="7" max="7"/>
    <col width="14" customWidth="1" min="8" max="8"/>
    <col width="14" customWidth="1" min="9" max="9"/>
    <col width="30" customWidth="1" min="10" max="10"/>
  </cols>
  <sheetData>
    <row r="1">
      <c r="A1" s="13" t="inlineStr">
        <is>
          <t>Дата заказа (оценка) UTC</t>
        </is>
      </c>
      <c r="B1" s="13" t="inlineStr">
        <is>
          <t>Заказ</t>
        </is>
      </c>
      <c r="C1" s="13" t="inlineStr">
        <is>
          <t>Телефон</t>
        </is>
      </c>
      <c r="D1" s="13" t="inlineStr">
        <is>
          <t>Товар</t>
        </is>
      </c>
      <c r="E1" s="13" t="inlineStr">
        <is>
          <t>Кол-во</t>
        </is>
      </c>
      <c r="F1" s="13" t="inlineStr">
        <is>
          <t>Источник по правилу клиента</t>
        </is>
      </c>
      <c r="G1" s="13" t="inlineStr">
        <is>
          <t>Источник заказа в дашборде клиента</t>
        </is>
      </c>
      <c r="H1" s="13" t="inlineStr">
        <is>
          <t>Есть у клиента</t>
        </is>
      </c>
      <c r="I1" s="13" t="inlineStr">
        <is>
          <t>Площадка</t>
        </is>
      </c>
      <c r="J1" s="13" t="inlineStr">
        <is>
          <t>Автор</t>
        </is>
      </c>
    </row>
    <row r="2">
      <c r="A2" t="inlineStr">
        <is>
          <t>2026-10-20 16:47</t>
        </is>
      </c>
      <c r="B2" t="inlineStr">
        <is>
          <t>13207395</t>
        </is>
      </c>
      <c r="C2" t="inlineStr">
        <is>
          <t>+48797455191</t>
        </is>
      </c>
      <c r="D2" t="inlineStr">
        <is>
          <t>Tunel 3x6m / 40x20mm</t>
        </is>
      </c>
      <c r="E2" t="n">
        <v>1</v>
      </c>
      <c r="F2" t="inlineStr">
        <is>
          <t>Нет метки</t>
        </is>
      </c>
      <c r="G2" t="inlineStr">
        <is>
          <t>Нет метки</t>
        </is>
      </c>
      <c r="H2" t="inlineStr">
        <is>
          <t>да</t>
        </is>
      </c>
      <c r="I2" t="inlineStr">
        <is>
          <t>Tilda</t>
        </is>
      </c>
      <c r="J2" t="inlineStr">
        <is>
          <t>script_Tilda_MOCNA</t>
        </is>
      </c>
    </row>
    <row r="3">
      <c r="A3" t="inlineStr">
        <is>
          <t>2026-10-20 12:20</t>
        </is>
      </c>
      <c r="B3" t="inlineStr">
        <is>
          <t>11293836</t>
        </is>
      </c>
      <c r="C3" t="inlineStr">
        <is>
          <t>+48887214683</t>
        </is>
      </c>
      <c r="D3" t="inlineStr">
        <is>
          <t>Tunel 3x6m / 40x20mm</t>
        </is>
      </c>
      <c r="E3" t="n">
        <v>1</v>
      </c>
      <c r="F3" t="inlineStr">
        <is>
          <t>Google Ads</t>
        </is>
      </c>
      <c r="G3" t="inlineStr">
        <is>
          <t>Google Ads</t>
        </is>
      </c>
      <c r="H3" t="inlineStr">
        <is>
          <t>да</t>
        </is>
      </c>
      <c r="I3" t="inlineStr">
        <is>
          <t>Tilda</t>
        </is>
      </c>
      <c r="J3" t="inlineStr">
        <is>
          <t>script_Tilda_MOCNA</t>
        </is>
      </c>
    </row>
    <row r="4">
      <c r="A4" t="inlineStr">
        <is>
          <t>2026-10-20 11:13</t>
        </is>
      </c>
      <c r="B4" t="inlineStr">
        <is>
          <t>17330065</t>
        </is>
      </c>
      <c r="C4" t="inlineStr">
        <is>
          <t>+48668003559</t>
        </is>
      </c>
      <c r="D4" t="inlineStr">
        <is>
          <t>Domek 2.5x6m / 40x20mm 6mm</t>
        </is>
      </c>
      <c r="E4" t="n">
        <v>1</v>
      </c>
      <c r="F4" t="inlineStr">
        <is>
          <t>Google Ads</t>
        </is>
      </c>
      <c r="G4" t="inlineStr">
        <is>
          <t>Google Ads</t>
        </is>
      </c>
      <c r="H4" t="inlineStr">
        <is>
          <t>да</t>
        </is>
      </c>
      <c r="I4" t="inlineStr">
        <is>
          <t>Tilda</t>
        </is>
      </c>
      <c r="J4" t="inlineStr">
        <is>
          <t>script_Tilda_MOCNA</t>
        </is>
      </c>
    </row>
    <row r="5">
      <c r="A5" t="inlineStr">
        <is>
          <t>2026-10-20 09:38</t>
        </is>
      </c>
      <c r="B5" t="inlineStr">
        <is>
          <t>72931963</t>
        </is>
      </c>
      <c r="C5" t="inlineStr">
        <is>
          <t>+48724458796</t>
        </is>
      </c>
      <c r="D5" t="inlineStr">
        <is>
          <t>Domek 2.5x4m / 40x20mm 6mm</t>
        </is>
      </c>
      <c r="E5" t="n">
        <v>1</v>
      </c>
      <c r="F5" t="inlineStr">
        <is>
          <t>Телефон</t>
        </is>
      </c>
      <c r="G5" t="inlineStr">
        <is>
          <t>Телефон</t>
        </is>
      </c>
      <c r="H5" t="inlineStr">
        <is>
          <t>да</t>
        </is>
      </c>
      <c r="I5" t="inlineStr">
        <is>
          <t>Tilda</t>
        </is>
      </c>
      <c r="J5" t="inlineStr">
        <is>
          <t>s.mocnaszklarnia@profimetpl.com</t>
        </is>
      </c>
    </row>
    <row r="6">
      <c r="A6" t="inlineStr">
        <is>
          <t>2026-10-20 09:30</t>
        </is>
      </c>
      <c r="B6" t="inlineStr">
        <is>
          <t>70182e9e</t>
        </is>
      </c>
      <c r="C6" t="inlineStr">
        <is>
          <t>+48503861418</t>
        </is>
      </c>
      <c r="D6" t="inlineStr">
        <is>
          <t>Tunel 3x8m / 40x20mm</t>
        </is>
      </c>
      <c r="E6" t="n">
        <v>1</v>
      </c>
      <c r="F6" t="inlineStr">
        <is>
          <t>Телефон</t>
        </is>
      </c>
      <c r="G6" t="inlineStr">
        <is>
          <t>Телефон</t>
        </is>
      </c>
      <c r="H6" t="inlineStr">
        <is>
          <t>да</t>
        </is>
      </c>
      <c r="I6" t="inlineStr">
        <is>
          <t>Tilda</t>
        </is>
      </c>
      <c r="J6" t="inlineStr">
        <is>
          <t>s.mocnaszklarnia@profimetpl.com</t>
        </is>
      </c>
    </row>
    <row r="7">
      <c r="A7" t="inlineStr">
        <is>
          <t>2026-10-20 09:15</t>
        </is>
      </c>
      <c r="B7" t="inlineStr">
        <is>
          <t>11627047</t>
        </is>
      </c>
      <c r="C7" t="inlineStr">
        <is>
          <t>+48513182410</t>
        </is>
      </c>
      <c r="D7" t="inlineStr">
        <is>
          <t>Tunel 4x8m / 40x20mm 6mm</t>
        </is>
      </c>
      <c r="E7" t="n">
        <v>1</v>
      </c>
      <c r="F7" t="inlineStr">
        <is>
          <t>Google Ads</t>
        </is>
      </c>
      <c r="G7" t="inlineStr">
        <is>
          <t>Google Ads</t>
        </is>
      </c>
      <c r="H7" t="inlineStr">
        <is>
          <t>да</t>
        </is>
      </c>
      <c r="I7" t="inlineStr">
        <is>
          <t>Tilda</t>
        </is>
      </c>
      <c r="J7" t="inlineStr">
        <is>
          <t>script_Tilda_MOCNA</t>
        </is>
      </c>
    </row>
    <row r="8">
      <c r="A8" t="inlineStr">
        <is>
          <t>2026-10-20 09:12</t>
        </is>
      </c>
      <c r="B8" t="inlineStr">
        <is>
          <t>bf6a1932</t>
        </is>
      </c>
      <c r="C8" t="inlineStr">
        <is>
          <t>+48663029428</t>
        </is>
      </c>
      <c r="D8" t="inlineStr"/>
      <c r="E8" t="n">
        <v>1</v>
      </c>
      <c r="F8" t="inlineStr">
        <is>
          <t>Телефон</t>
        </is>
      </c>
      <c r="G8" t="inlineStr"/>
      <c r="H8" t="inlineStr">
        <is>
          <t>нет</t>
        </is>
      </c>
      <c r="I8" t="inlineStr"/>
      <c r="J8" t="inlineStr"/>
    </row>
    <row r="9">
      <c r="A9" t="inlineStr">
        <is>
          <t>2026-10-20 05:38</t>
        </is>
      </c>
      <c r="B9" t="inlineStr">
        <is>
          <t>17933257</t>
        </is>
      </c>
      <c r="C9" t="inlineStr">
        <is>
          <t>+48784426778</t>
        </is>
      </c>
      <c r="D9" t="inlineStr">
        <is>
          <t>Tunel 3x4m / 40x20mm 6mm</t>
        </is>
      </c>
      <c r="E9" t="n">
        <v>1</v>
      </c>
      <c r="F9" t="inlineStr">
        <is>
          <t>Нет метки</t>
        </is>
      </c>
      <c r="G9" t="inlineStr">
        <is>
          <t>Нет метки</t>
        </is>
      </c>
      <c r="H9" t="inlineStr">
        <is>
          <t>да</t>
        </is>
      </c>
      <c r="I9" t="inlineStr">
        <is>
          <t>Tilda</t>
        </is>
      </c>
      <c r="J9" t="inlineStr">
        <is>
          <t>script_Tilda_MOCNA</t>
        </is>
      </c>
    </row>
    <row r="10">
      <c r="A10" t="inlineStr">
        <is>
          <t>2026-10-19 18:14</t>
        </is>
      </c>
      <c r="B10" t="inlineStr">
        <is>
          <t>19289642</t>
        </is>
      </c>
      <c r="C10" t="inlineStr">
        <is>
          <t>+48663825755</t>
        </is>
      </c>
      <c r="D10" t="inlineStr">
        <is>
          <t>Tunel 3x4m / 40x20mm</t>
        </is>
      </c>
      <c r="E10" t="n">
        <v>1</v>
      </c>
      <c r="F10" t="inlineStr">
        <is>
          <t>Нет метки</t>
        </is>
      </c>
      <c r="G10" t="inlineStr">
        <is>
          <t>Нет метки</t>
        </is>
      </c>
      <c r="H10" t="inlineStr">
        <is>
          <t>да</t>
        </is>
      </c>
      <c r="I10" t="inlineStr">
        <is>
          <t>Tilda</t>
        </is>
      </c>
      <c r="J10" t="inlineStr">
        <is>
          <t>script_Tilda_MOCNA</t>
        </is>
      </c>
    </row>
    <row r="11">
      <c r="A11" t="inlineStr">
        <is>
          <t>2026-10-19 13:02</t>
        </is>
      </c>
      <c r="B11" t="inlineStr">
        <is>
          <t>fbe10701</t>
        </is>
      </c>
      <c r="C11" t="inlineStr">
        <is>
          <t>+48889929886</t>
        </is>
      </c>
      <c r="D11" t="inlineStr">
        <is>
          <t>Tunel 2,5x6m / 40x20mm 6mm</t>
        </is>
      </c>
      <c r="E11" t="n">
        <v>1</v>
      </c>
      <c r="F11" t="inlineStr">
        <is>
          <t>Телефон</t>
        </is>
      </c>
      <c r="G11" t="inlineStr">
        <is>
          <t>Телефон</t>
        </is>
      </c>
      <c r="H11" t="inlineStr">
        <is>
          <t>да</t>
        </is>
      </c>
      <c r="I11" t="inlineStr">
        <is>
          <t>Tilda</t>
        </is>
      </c>
      <c r="J11" t="inlineStr">
        <is>
          <t>profimet100@gmail.com</t>
        </is>
      </c>
    </row>
    <row r="12">
      <c r="A12" t="inlineStr">
        <is>
          <t>2026-10-19 12:32</t>
        </is>
      </c>
      <c r="B12" t="inlineStr">
        <is>
          <t>aaedb304</t>
        </is>
      </c>
      <c r="C12" t="inlineStr">
        <is>
          <t>+48600341180</t>
        </is>
      </c>
      <c r="D12" t="inlineStr"/>
      <c r="E12" t="n">
        <v>1</v>
      </c>
      <c r="F12" t="inlineStr">
        <is>
          <t>Телефон</t>
        </is>
      </c>
      <c r="G12" t="inlineStr"/>
      <c r="H12" t="inlineStr">
        <is>
          <t>нет</t>
        </is>
      </c>
      <c r="I12" t="inlineStr"/>
      <c r="J12" t="inlineStr"/>
    </row>
    <row r="13">
      <c r="A13" t="inlineStr">
        <is>
          <t>2026-10-19 12:10</t>
        </is>
      </c>
      <c r="B13" t="inlineStr">
        <is>
          <t>7b7768bf</t>
        </is>
      </c>
      <c r="C13" t="inlineStr">
        <is>
          <t>+48785506010</t>
        </is>
      </c>
      <c r="D13" t="inlineStr">
        <is>
          <t>Domek 2.5x4m / 40x20mm 6mm</t>
        </is>
      </c>
      <c r="E13" t="n">
        <v>1</v>
      </c>
      <c r="F13" t="inlineStr">
        <is>
          <t>Телефон</t>
        </is>
      </c>
      <c r="G13" t="inlineStr">
        <is>
          <t>Телефон</t>
        </is>
      </c>
      <c r="H13" t="inlineStr">
        <is>
          <t>да</t>
        </is>
      </c>
      <c r="I13" t="inlineStr">
        <is>
          <t>Tilda</t>
        </is>
      </c>
      <c r="J13" t="inlineStr">
        <is>
          <t>s.mocnaszklarnia@profimetpl.com</t>
        </is>
      </c>
    </row>
    <row r="14">
      <c r="A14" t="inlineStr">
        <is>
          <t>2026-10-19 11:31</t>
        </is>
      </c>
      <c r="B14" t="inlineStr">
        <is>
          <t>a6f32d59</t>
        </is>
      </c>
      <c r="C14" t="inlineStr">
        <is>
          <t>+48601487236</t>
        </is>
      </c>
      <c r="D14" t="inlineStr">
        <is>
          <t>Tunel 2,5x4m / 40x20mm 6mm</t>
        </is>
      </c>
      <c r="E14" t="n">
        <v>1</v>
      </c>
      <c r="F14" t="inlineStr">
        <is>
          <t>Телефон</t>
        </is>
      </c>
      <c r="G14" t="inlineStr">
        <is>
          <t>Телефон</t>
        </is>
      </c>
      <c r="H14" t="inlineStr">
        <is>
          <t>да</t>
        </is>
      </c>
      <c r="I14" t="inlineStr">
        <is>
          <t>Tilda</t>
        </is>
      </c>
      <c r="J14" t="inlineStr">
        <is>
          <t>s.mocnaszklarnia@profimetpl.com</t>
        </is>
      </c>
    </row>
    <row r="15">
      <c r="A15" t="inlineStr">
        <is>
          <t>2026-10-19 09:07</t>
        </is>
      </c>
      <c r="B15" t="inlineStr">
        <is>
          <t>08eec9f5</t>
        </is>
      </c>
      <c r="C15" t="inlineStr">
        <is>
          <t>+48694599397</t>
        </is>
      </c>
      <c r="D15" t="inlineStr">
        <is>
          <t>Tunel 2x3m / 20x20mm</t>
        </is>
      </c>
      <c r="E15" t="n">
        <v>1</v>
      </c>
      <c r="F15" t="inlineStr">
        <is>
          <t>Телефон</t>
        </is>
      </c>
      <c r="G15" t="inlineStr">
        <is>
          <t>Телефон</t>
        </is>
      </c>
      <c r="H15" t="inlineStr">
        <is>
          <t>да</t>
        </is>
      </c>
      <c r="I15" t="inlineStr">
        <is>
          <t>Tilda</t>
        </is>
      </c>
      <c r="J15" t="inlineStr">
        <is>
          <t>profimet100@gmail.com</t>
        </is>
      </c>
    </row>
    <row r="16">
      <c r="A16" t="inlineStr">
        <is>
          <t>2026-10-19 09:00</t>
        </is>
      </c>
      <c r="B16" t="inlineStr">
        <is>
          <t>11122103</t>
        </is>
      </c>
      <c r="C16" t="inlineStr">
        <is>
          <t>+48575880187</t>
        </is>
      </c>
      <c r="D16" t="inlineStr">
        <is>
          <t>Tunel 3x6m / 40x20mm 6mm</t>
        </is>
      </c>
      <c r="E16" t="n">
        <v>1</v>
      </c>
      <c r="F16" t="inlineStr">
        <is>
          <t>Google Ads</t>
        </is>
      </c>
      <c r="G16" t="inlineStr">
        <is>
          <t>Google Ads</t>
        </is>
      </c>
      <c r="H16" t="inlineStr">
        <is>
          <t>да</t>
        </is>
      </c>
      <c r="I16" t="inlineStr">
        <is>
          <t>Tilda</t>
        </is>
      </c>
      <c r="J16" t="inlineStr">
        <is>
          <t>script_Tilda_MOCNA</t>
        </is>
      </c>
    </row>
    <row r="17">
      <c r="A17" t="inlineStr">
        <is>
          <t>2026-10-19 08:59</t>
        </is>
      </c>
      <c r="B17" t="inlineStr">
        <is>
          <t>b80e1291</t>
        </is>
      </c>
      <c r="C17" t="inlineStr">
        <is>
          <t>+48608210728</t>
        </is>
      </c>
      <c r="D17" t="inlineStr">
        <is>
          <t>Tunel 3,5x8m / 40x20mm 6mm</t>
        </is>
      </c>
      <c r="E17" t="n">
        <v>1</v>
      </c>
      <c r="F17" t="inlineStr">
        <is>
          <t>Телефон</t>
        </is>
      </c>
      <c r="G17" t="inlineStr">
        <is>
          <t>Телефон</t>
        </is>
      </c>
      <c r="H17" t="inlineStr">
        <is>
          <t>да</t>
        </is>
      </c>
      <c r="I17" t="inlineStr">
        <is>
          <t>Tilda</t>
        </is>
      </c>
      <c r="J17" t="inlineStr">
        <is>
          <t>profimet100@gmail.com</t>
        </is>
      </c>
    </row>
    <row r="18">
      <c r="A18" t="inlineStr">
        <is>
          <t>2026-10-19 08:43</t>
        </is>
      </c>
      <c r="B18" t="inlineStr">
        <is>
          <t>87454299</t>
        </is>
      </c>
      <c r="C18" t="inlineStr">
        <is>
          <t>+48697778816</t>
        </is>
      </c>
      <c r="D18" t="inlineStr">
        <is>
          <t>Tunel 3x6m / 20x20mm 6mm</t>
        </is>
      </c>
      <c r="E18" t="n">
        <v>1</v>
      </c>
      <c r="F18" t="inlineStr">
        <is>
          <t>Google Ads</t>
        </is>
      </c>
      <c r="G18" t="inlineStr">
        <is>
          <t>Google Ads</t>
        </is>
      </c>
      <c r="H18" t="inlineStr">
        <is>
          <t>да</t>
        </is>
      </c>
      <c r="I18" t="inlineStr">
        <is>
          <t>Tilda</t>
        </is>
      </c>
      <c r="J18" t="inlineStr">
        <is>
          <t>script_Tilda_MOCNA</t>
        </is>
      </c>
    </row>
    <row r="19">
      <c r="A19" t="inlineStr">
        <is>
          <t>2026-10-19 06:53</t>
        </is>
      </c>
      <c r="B19" t="inlineStr">
        <is>
          <t>14152447</t>
        </is>
      </c>
      <c r="C19" t="inlineStr">
        <is>
          <t>+48662587868</t>
        </is>
      </c>
      <c r="D19" t="inlineStr">
        <is>
          <t>Tunel 3x4m / 40x20mm (D) 6mm</t>
        </is>
      </c>
      <c r="E19" t="n">
        <v>1</v>
      </c>
      <c r="F19" t="inlineStr">
        <is>
          <t>Google Ads</t>
        </is>
      </c>
      <c r="G19" t="inlineStr">
        <is>
          <t>Google Ads</t>
        </is>
      </c>
      <c r="H19" t="inlineStr">
        <is>
          <t>да</t>
        </is>
      </c>
      <c r="I19" t="inlineStr">
        <is>
          <t>Tilda</t>
        </is>
      </c>
      <c r="J19" t="inlineStr">
        <is>
          <t>script_Tilda_MOCNA</t>
        </is>
      </c>
    </row>
    <row r="20">
      <c r="A20" t="inlineStr">
        <is>
          <t>2026-10-18 13:15</t>
        </is>
      </c>
      <c r="B20" t="inlineStr">
        <is>
          <t>10412626</t>
        </is>
      </c>
      <c r="C20" t="inlineStr">
        <is>
          <t>+48513124984</t>
        </is>
      </c>
      <c r="D20" t="inlineStr">
        <is>
          <t>Tunel 3x6m / 40x20mm 6mm</t>
        </is>
      </c>
      <c r="E20" t="n">
        <v>1</v>
      </c>
      <c r="F20" t="inlineStr">
        <is>
          <t>Google Ads</t>
        </is>
      </c>
      <c r="G20" t="inlineStr">
        <is>
          <t>Google Ads</t>
        </is>
      </c>
      <c r="H20" t="inlineStr">
        <is>
          <t>да</t>
        </is>
      </c>
      <c r="I20" t="inlineStr">
        <is>
          <t>Tilda</t>
        </is>
      </c>
      <c r="J20" t="inlineStr">
        <is>
          <t>script_Tilda_MOCNA</t>
        </is>
      </c>
    </row>
    <row r="21">
      <c r="A21" t="inlineStr">
        <is>
          <t>2026-10-16 14:14</t>
        </is>
      </c>
      <c r="B21" t="inlineStr">
        <is>
          <t>19868832</t>
        </is>
      </c>
      <c r="C21" t="inlineStr">
        <is>
          <t>+48661110820</t>
        </is>
      </c>
      <c r="D21" t="inlineStr">
        <is>
          <t>Domek 2.5x4m / 40x20mm 6mm</t>
        </is>
      </c>
      <c r="E21" t="n">
        <v>1</v>
      </c>
      <c r="F21" t="inlineStr">
        <is>
          <t>Нет метки</t>
        </is>
      </c>
      <c r="G21" t="inlineStr">
        <is>
          <t>Нет метки</t>
        </is>
      </c>
      <c r="H21" t="inlineStr">
        <is>
          <t>да</t>
        </is>
      </c>
      <c r="I21" t="inlineStr">
        <is>
          <t>Tilda</t>
        </is>
      </c>
      <c r="J21" t="inlineStr">
        <is>
          <t>script_Tilda_MOCNA</t>
        </is>
      </c>
    </row>
    <row r="22">
      <c r="A22" t="inlineStr">
        <is>
          <t>2026-10-16 14:12</t>
        </is>
      </c>
      <c r="B22" t="inlineStr">
        <is>
          <t>13392213</t>
        </is>
      </c>
      <c r="C22" t="inlineStr">
        <is>
          <t>+48515126940</t>
        </is>
      </c>
      <c r="D22" t="inlineStr">
        <is>
          <t>Tunel 3,5x12m / 40x20mm 6mm</t>
        </is>
      </c>
      <c r="E22" t="n">
        <v>1</v>
      </c>
      <c r="F22" t="inlineStr">
        <is>
          <t>Нет метки</t>
        </is>
      </c>
      <c r="G22" t="inlineStr">
        <is>
          <t>Нет метки</t>
        </is>
      </c>
      <c r="H22" t="inlineStr">
        <is>
          <t>да</t>
        </is>
      </c>
      <c r="I22" t="inlineStr">
        <is>
          <t>Tilda</t>
        </is>
      </c>
      <c r="J22" t="inlineStr">
        <is>
          <t>script_Tilda_MOCNA</t>
        </is>
      </c>
    </row>
    <row r="23">
      <c r="A23" t="inlineStr">
        <is>
          <t>2026-10-16 12:54</t>
        </is>
      </c>
      <c r="B23" t="inlineStr">
        <is>
          <t>5edff5a1</t>
        </is>
      </c>
      <c r="C23" t="inlineStr">
        <is>
          <t>+48691603750</t>
        </is>
      </c>
      <c r="D23" t="inlineStr">
        <is>
          <t>Tunel 3x6m / 40x20mm 6mm</t>
        </is>
      </c>
      <c r="E23" t="n">
        <v>1</v>
      </c>
      <c r="F23" t="inlineStr">
        <is>
          <t>Телефон</t>
        </is>
      </c>
      <c r="G23" t="inlineStr">
        <is>
          <t>Телефон</t>
        </is>
      </c>
      <c r="H23" t="inlineStr">
        <is>
          <t>да</t>
        </is>
      </c>
      <c r="I23" t="inlineStr">
        <is>
          <t>Tilda</t>
        </is>
      </c>
      <c r="J23" t="inlineStr">
        <is>
          <t>m.mocnaszklarnia@profimetpl.com</t>
        </is>
      </c>
    </row>
    <row r="24">
      <c r="A24" t="inlineStr">
        <is>
          <t>2026-10-16 12:49</t>
        </is>
      </c>
      <c r="B24" t="inlineStr">
        <is>
          <t>20eabe57</t>
        </is>
      </c>
      <c r="C24" t="inlineStr">
        <is>
          <t>+48690189460</t>
        </is>
      </c>
      <c r="D24" t="inlineStr">
        <is>
          <t>Tunel 3x4m / 40x20mm (D)</t>
        </is>
      </c>
      <c r="E24" t="n">
        <v>1</v>
      </c>
      <c r="F24" t="inlineStr">
        <is>
          <t>Телефон</t>
        </is>
      </c>
      <c r="G24" t="inlineStr">
        <is>
          <t>Телефон</t>
        </is>
      </c>
      <c r="H24" t="inlineStr">
        <is>
          <t>да</t>
        </is>
      </c>
      <c r="I24" t="inlineStr">
        <is>
          <t>Tilda</t>
        </is>
      </c>
      <c r="J24" t="inlineStr">
        <is>
          <t>s.mocnaszklarnia@profimetpl.com</t>
        </is>
      </c>
    </row>
    <row r="25">
      <c r="A25" t="inlineStr">
        <is>
          <t>2026-10-16 11:38</t>
        </is>
      </c>
      <c r="B25" t="inlineStr">
        <is>
          <t>123e7619</t>
        </is>
      </c>
      <c r="C25" t="inlineStr">
        <is>
          <t>+48603069966</t>
        </is>
      </c>
      <c r="D25" t="inlineStr">
        <is>
          <t>Tunel 3x4m / 40x20mm</t>
        </is>
      </c>
      <c r="E25" t="n">
        <v>1</v>
      </c>
      <c r="F25" t="inlineStr">
        <is>
          <t>Телефон</t>
        </is>
      </c>
      <c r="G25" t="inlineStr">
        <is>
          <t>Телефон</t>
        </is>
      </c>
      <c r="H25" t="inlineStr">
        <is>
          <t>да</t>
        </is>
      </c>
      <c r="I25" t="inlineStr">
        <is>
          <t>Tilda</t>
        </is>
      </c>
      <c r="J25" t="inlineStr">
        <is>
          <t>m.mocnaszklarnia@profimetpl.com</t>
        </is>
      </c>
    </row>
    <row r="26">
      <c r="A26" t="inlineStr">
        <is>
          <t>2026-10-16 11:03</t>
        </is>
      </c>
      <c r="B26" t="inlineStr">
        <is>
          <t>9126da99</t>
        </is>
      </c>
      <c r="C26" t="inlineStr">
        <is>
          <t>+48666073957</t>
        </is>
      </c>
      <c r="D26" t="inlineStr">
        <is>
          <t>Tunel 3x6m / 40x20mm 6mm</t>
        </is>
      </c>
      <c r="E26" t="n">
        <v>1</v>
      </c>
      <c r="F26" t="inlineStr">
        <is>
          <t>Телефон</t>
        </is>
      </c>
      <c r="G26" t="inlineStr">
        <is>
          <t>Телефон</t>
        </is>
      </c>
      <c r="H26" t="inlineStr">
        <is>
          <t>да</t>
        </is>
      </c>
      <c r="I26" t="inlineStr">
        <is>
          <t>Tilda</t>
        </is>
      </c>
      <c r="J26" t="inlineStr">
        <is>
          <t>m.mocnaszklarnia@profimetpl.com</t>
        </is>
      </c>
    </row>
    <row r="27">
      <c r="A27" t="inlineStr">
        <is>
          <t>2026-10-16 10:40</t>
        </is>
      </c>
      <c r="B27" t="inlineStr">
        <is>
          <t>15712701</t>
        </is>
      </c>
      <c r="C27" t="inlineStr">
        <is>
          <t>+48602303718</t>
        </is>
      </c>
      <c r="D27" t="inlineStr">
        <is>
          <t>Domek 2.5x4m / 40x20mm 6mm</t>
        </is>
      </c>
      <c r="E27" t="n">
        <v>1</v>
      </c>
      <c r="F27" t="inlineStr">
        <is>
          <t>Нет метки</t>
        </is>
      </c>
      <c r="G27" t="inlineStr">
        <is>
          <t>Нет метки</t>
        </is>
      </c>
      <c r="H27" t="inlineStr">
        <is>
          <t>да</t>
        </is>
      </c>
      <c r="I27" t="inlineStr">
        <is>
          <t>Tilda</t>
        </is>
      </c>
      <c r="J27" t="inlineStr">
        <is>
          <t>script_Tilda_MOCNA</t>
        </is>
      </c>
    </row>
    <row r="28">
      <c r="A28" t="inlineStr">
        <is>
          <t>2026-10-16 06:16</t>
        </is>
      </c>
      <c r="B28" t="inlineStr">
        <is>
          <t>17306973</t>
        </is>
      </c>
      <c r="C28" t="inlineStr">
        <is>
          <t>+48603690033</t>
        </is>
      </c>
      <c r="D28" t="inlineStr">
        <is>
          <t>Tunel 4x8m / 40x20mm 6mm</t>
        </is>
      </c>
      <c r="E28" t="n">
        <v>1</v>
      </c>
      <c r="F28" t="inlineStr">
        <is>
          <t>Google Ads</t>
        </is>
      </c>
      <c r="G28" t="inlineStr">
        <is>
          <t>Google Ads</t>
        </is>
      </c>
      <c r="H28" t="inlineStr">
        <is>
          <t>да</t>
        </is>
      </c>
      <c r="I28" t="inlineStr">
        <is>
          <t>Tilda</t>
        </is>
      </c>
      <c r="J28" t="inlineStr">
        <is>
          <t>script_Tilda_MOCNA</t>
        </is>
      </c>
    </row>
    <row r="29">
      <c r="A29" t="inlineStr">
        <is>
          <t>2026-10-15 19:51</t>
        </is>
      </c>
      <c r="B29" t="inlineStr">
        <is>
          <t>17498056</t>
        </is>
      </c>
      <c r="C29" t="inlineStr">
        <is>
          <t>+48727306740</t>
        </is>
      </c>
      <c r="D29" t="inlineStr">
        <is>
          <t>Tunel 3x6m / 40x20mm 6mm</t>
        </is>
      </c>
      <c r="E29" t="n">
        <v>1</v>
      </c>
      <c r="F29" t="inlineStr">
        <is>
          <t>Нет метки</t>
        </is>
      </c>
      <c r="G29" t="inlineStr">
        <is>
          <t>Нет метки</t>
        </is>
      </c>
      <c r="H29" t="inlineStr">
        <is>
          <t>да</t>
        </is>
      </c>
      <c r="I29" t="inlineStr">
        <is>
          <t>Tilda</t>
        </is>
      </c>
      <c r="J29" t="inlineStr">
        <is>
          <t>script_Tilda_MOCNA</t>
        </is>
      </c>
    </row>
    <row r="30">
      <c r="A30" t="inlineStr">
        <is>
          <t>2026-10-15 16:37</t>
        </is>
      </c>
      <c r="B30" t="inlineStr">
        <is>
          <t>16762687</t>
        </is>
      </c>
      <c r="C30" t="inlineStr">
        <is>
          <t>+48692461217</t>
        </is>
      </c>
      <c r="D30" t="inlineStr">
        <is>
          <t>Tunel 3x6m / 40x20mm 6mm</t>
        </is>
      </c>
      <c r="E30" t="n">
        <v>1</v>
      </c>
      <c r="F30" t="inlineStr">
        <is>
          <t>Google Ads</t>
        </is>
      </c>
      <c r="G30" t="inlineStr">
        <is>
          <t>Google Ads</t>
        </is>
      </c>
      <c r="H30" t="inlineStr">
        <is>
          <t>да</t>
        </is>
      </c>
      <c r="I30" t="inlineStr">
        <is>
          <t>Tilda</t>
        </is>
      </c>
      <c r="J30" t="inlineStr">
        <is>
          <t>script_Tilda_MOCNA</t>
        </is>
      </c>
    </row>
    <row r="31">
      <c r="A31" t="inlineStr">
        <is>
          <t>2026-10-15 12:57</t>
        </is>
      </c>
      <c r="B31" t="inlineStr">
        <is>
          <t>64a90a4e</t>
        </is>
      </c>
      <c r="C31" t="inlineStr">
        <is>
          <t>+48888872004</t>
        </is>
      </c>
      <c r="D31" t="inlineStr"/>
      <c r="E31" t="n">
        <v>1</v>
      </c>
      <c r="F31" t="inlineStr">
        <is>
          <t>Телефон</t>
        </is>
      </c>
      <c r="G31" t="inlineStr"/>
      <c r="H31" t="inlineStr">
        <is>
          <t>нет</t>
        </is>
      </c>
      <c r="I31" t="inlineStr"/>
      <c r="J31" t="inlineStr"/>
    </row>
    <row r="32">
      <c r="A32" t="inlineStr">
        <is>
          <t>2026-10-15 10:10</t>
        </is>
      </c>
      <c r="B32" t="inlineStr">
        <is>
          <t>dd533b5b</t>
        </is>
      </c>
      <c r="C32" t="inlineStr">
        <is>
          <t>+48604540409</t>
        </is>
      </c>
      <c r="D32" t="inlineStr">
        <is>
          <t>Tunel 3x3m / 40x20mm</t>
        </is>
      </c>
      <c r="E32" t="n">
        <v>1</v>
      </c>
      <c r="F32" t="inlineStr">
        <is>
          <t>Телефон</t>
        </is>
      </c>
      <c r="G32" t="inlineStr">
        <is>
          <t>Телефон</t>
        </is>
      </c>
      <c r="H32" t="inlineStr">
        <is>
          <t>да</t>
        </is>
      </c>
      <c r="I32" t="inlineStr">
        <is>
          <t>Tilda</t>
        </is>
      </c>
      <c r="J32" t="inlineStr">
        <is>
          <t>profimet100@gmail.com</t>
        </is>
      </c>
    </row>
    <row r="33">
      <c r="A33" t="inlineStr">
        <is>
          <t>2026-10-15 09:33</t>
        </is>
      </c>
      <c r="B33" t="inlineStr">
        <is>
          <t>16990507</t>
        </is>
      </c>
      <c r="C33" t="inlineStr">
        <is>
          <t>+48696439151</t>
        </is>
      </c>
      <c r="D33" t="inlineStr">
        <is>
          <t>Domek 2.5x6m / 40x20mm 6mm</t>
        </is>
      </c>
      <c r="E33" t="n">
        <v>1</v>
      </c>
      <c r="F33" t="inlineStr">
        <is>
          <t>Google Ads</t>
        </is>
      </c>
      <c r="G33" t="inlineStr">
        <is>
          <t>Google Ads</t>
        </is>
      </c>
      <c r="H33" t="inlineStr">
        <is>
          <t>да</t>
        </is>
      </c>
      <c r="I33" t="inlineStr">
        <is>
          <t>Tilda</t>
        </is>
      </c>
      <c r="J33" t="inlineStr">
        <is>
          <t>script_Tilda_MOCNA</t>
        </is>
      </c>
    </row>
    <row r="34">
      <c r="A34" t="inlineStr">
        <is>
          <t>2026-10-15 08:52</t>
        </is>
      </c>
      <c r="B34" t="inlineStr">
        <is>
          <t>778938e9</t>
        </is>
      </c>
      <c r="C34" t="inlineStr">
        <is>
          <t>+48887806548</t>
        </is>
      </c>
      <c r="D34" t="inlineStr">
        <is>
          <t>Tunel 3x6m / 40x20mm</t>
        </is>
      </c>
      <c r="E34" t="n">
        <v>1</v>
      </c>
      <c r="F34" t="inlineStr">
        <is>
          <t>Телефон</t>
        </is>
      </c>
      <c r="G34" t="inlineStr">
        <is>
          <t>Нет метки</t>
        </is>
      </c>
      <c r="H34" t="inlineStr">
        <is>
          <t>да</t>
        </is>
      </c>
      <c r="I34" t="inlineStr">
        <is>
          <t>Tilda</t>
        </is>
      </c>
      <c r="J34" t="inlineStr">
        <is>
          <t>m.mocnaszklarnia@profimetpl.com</t>
        </is>
      </c>
    </row>
    <row r="35">
      <c r="A35" t="inlineStr">
        <is>
          <t>2026-10-15 08:17</t>
        </is>
      </c>
      <c r="B35" t="inlineStr">
        <is>
          <t>c04c84af</t>
        </is>
      </c>
      <c r="C35" t="inlineStr">
        <is>
          <t>+48665506506</t>
        </is>
      </c>
      <c r="D35" t="inlineStr"/>
      <c r="E35" t="n">
        <v>1</v>
      </c>
      <c r="F35" t="inlineStr">
        <is>
          <t>Телефон</t>
        </is>
      </c>
      <c r="G35" t="inlineStr"/>
      <c r="H35" t="inlineStr">
        <is>
          <t>нет</t>
        </is>
      </c>
      <c r="I35" t="inlineStr"/>
      <c r="J35" t="inlineStr"/>
    </row>
    <row r="36">
      <c r="A36" t="inlineStr">
        <is>
          <t>2026-10-14 13:40</t>
        </is>
      </c>
      <c r="B36" t="inlineStr">
        <is>
          <t>e688d054</t>
        </is>
      </c>
      <c r="C36" t="inlineStr">
        <is>
          <t>+48793639219</t>
        </is>
      </c>
      <c r="D36" t="inlineStr">
        <is>
          <t>Domek 2.5x4m / 40x20mm 6mm</t>
        </is>
      </c>
      <c r="E36" t="n">
        <v>1</v>
      </c>
      <c r="F36" t="inlineStr">
        <is>
          <t>Телефон</t>
        </is>
      </c>
      <c r="G36" t="inlineStr">
        <is>
          <t>Google Ads</t>
        </is>
      </c>
      <c r="H36" t="inlineStr">
        <is>
          <t>да</t>
        </is>
      </c>
      <c r="I36" t="inlineStr">
        <is>
          <t>Tilda</t>
        </is>
      </c>
      <c r="J36" t="inlineStr">
        <is>
          <t>profimet100@gmail.com</t>
        </is>
      </c>
    </row>
    <row r="37">
      <c r="A37" t="inlineStr">
        <is>
          <t>2026-10-14 11:19</t>
        </is>
      </c>
      <c r="B37" t="inlineStr">
        <is>
          <t>3dc2ad08</t>
        </is>
      </c>
      <c r="C37" t="inlineStr">
        <is>
          <t>+48793793239</t>
        </is>
      </c>
      <c r="D37" t="inlineStr">
        <is>
          <t>Tunel 3x4m / 40x20mm 6mm</t>
        </is>
      </c>
      <c r="E37" t="n">
        <v>1</v>
      </c>
      <c r="F37" t="inlineStr">
        <is>
          <t>Телефон</t>
        </is>
      </c>
      <c r="G37" t="inlineStr">
        <is>
          <t>Телефон</t>
        </is>
      </c>
      <c r="H37" t="inlineStr">
        <is>
          <t>да</t>
        </is>
      </c>
      <c r="I37" t="inlineStr">
        <is>
          <t>Tilda</t>
        </is>
      </c>
      <c r="J37" t="inlineStr">
        <is>
          <t>s.mocnaszklarnia@profimetpl.com</t>
        </is>
      </c>
    </row>
    <row r="38">
      <c r="A38" t="inlineStr">
        <is>
          <t>2026-10-14 11:15</t>
        </is>
      </c>
      <c r="B38" t="inlineStr">
        <is>
          <t>d9e6d938</t>
        </is>
      </c>
      <c r="C38" t="inlineStr">
        <is>
          <t>+48512967007</t>
        </is>
      </c>
      <c r="D38" t="inlineStr">
        <is>
          <t>Tunel 3x4m / 40x20mm 6mm</t>
        </is>
      </c>
      <c r="E38" t="n">
        <v>1</v>
      </c>
      <c r="F38" t="inlineStr">
        <is>
          <t>Телефон</t>
        </is>
      </c>
      <c r="G38" t="inlineStr">
        <is>
          <t>Телефон</t>
        </is>
      </c>
      <c r="H38" t="inlineStr">
        <is>
          <t>да</t>
        </is>
      </c>
      <c r="I38" t="inlineStr">
        <is>
          <t>Tilda</t>
        </is>
      </c>
      <c r="J38" t="inlineStr">
        <is>
          <t>s.mocnaszklarnia@profimetpl.com</t>
        </is>
      </c>
    </row>
    <row r="39">
      <c r="A39" t="inlineStr">
        <is>
          <t>2026-10-14 09:47</t>
        </is>
      </c>
      <c r="B39" t="inlineStr">
        <is>
          <t>10776976</t>
        </is>
      </c>
      <c r="C39" t="inlineStr">
        <is>
          <t>+48608583298</t>
        </is>
      </c>
      <c r="D39" t="inlineStr">
        <is>
          <t>Tunel 3x4m / 40x20mm 6mm</t>
        </is>
      </c>
      <c r="E39" t="n">
        <v>1</v>
      </c>
      <c r="F39" t="inlineStr">
        <is>
          <t>Google Ads</t>
        </is>
      </c>
      <c r="G39" t="inlineStr">
        <is>
          <t>Google Ads</t>
        </is>
      </c>
      <c r="H39" t="inlineStr">
        <is>
          <t>да</t>
        </is>
      </c>
      <c r="I39" t="inlineStr">
        <is>
          <t>Tilda</t>
        </is>
      </c>
      <c r="J39" t="inlineStr">
        <is>
          <t>script_Tilda_MOCNA</t>
        </is>
      </c>
    </row>
    <row r="40">
      <c r="A40" t="inlineStr">
        <is>
          <t>2026-10-13 19:03</t>
        </is>
      </c>
      <c r="B40" t="inlineStr">
        <is>
          <t>14153391</t>
        </is>
      </c>
      <c r="C40" t="inlineStr">
        <is>
          <t>+48511999585</t>
        </is>
      </c>
      <c r="D40" t="inlineStr">
        <is>
          <t>Tunel 3x8m / 40x20mm (D) 6mm</t>
        </is>
      </c>
      <c r="E40" t="n">
        <v>1</v>
      </c>
      <c r="F40" t="inlineStr">
        <is>
          <t>Нет метки</t>
        </is>
      </c>
      <c r="G40" t="inlineStr">
        <is>
          <t>Нет метки</t>
        </is>
      </c>
      <c r="H40" t="inlineStr">
        <is>
          <t>да</t>
        </is>
      </c>
      <c r="I40" t="inlineStr">
        <is>
          <t>Tilda</t>
        </is>
      </c>
      <c r="J40" t="inlineStr">
        <is>
          <t>script_Tilda_MOCNA</t>
        </is>
      </c>
    </row>
    <row r="41">
      <c r="A41" t="inlineStr">
        <is>
          <t>2026-10-13 10:58</t>
        </is>
      </c>
      <c r="B41" t="inlineStr">
        <is>
          <t>e89c2916</t>
        </is>
      </c>
      <c r="C41" t="inlineStr">
        <is>
          <t>+48517906559</t>
        </is>
      </c>
      <c r="D41" t="inlineStr">
        <is>
          <t>Domek 2,1x4m / 40x20mm 6mm</t>
        </is>
      </c>
      <c r="E41" t="n">
        <v>1</v>
      </c>
      <c r="F41" t="inlineStr">
        <is>
          <t>Телефон</t>
        </is>
      </c>
      <c r="G41" t="inlineStr">
        <is>
          <t>Телефон</t>
        </is>
      </c>
      <c r="H41" t="inlineStr">
        <is>
          <t>да</t>
        </is>
      </c>
      <c r="I41" t="inlineStr">
        <is>
          <t>Tilda</t>
        </is>
      </c>
      <c r="J41" t="inlineStr">
        <is>
          <t>s.mocnaszklarnia@profimetpl.com</t>
        </is>
      </c>
    </row>
    <row r="42">
      <c r="A42" t="inlineStr">
        <is>
          <t>2026-10-13 09:31</t>
        </is>
      </c>
      <c r="B42" t="inlineStr">
        <is>
          <t>15039088</t>
        </is>
      </c>
      <c r="C42" t="inlineStr">
        <is>
          <t>+48782515538</t>
        </is>
      </c>
      <c r="D42" t="inlineStr">
        <is>
          <t>Tunel 3x6m / 40x20mm 6mm</t>
        </is>
      </c>
      <c r="E42" t="n">
        <v>1</v>
      </c>
      <c r="F42" t="inlineStr">
        <is>
          <t>Google Ads</t>
        </is>
      </c>
      <c r="G42" t="inlineStr">
        <is>
          <t>Google Ads</t>
        </is>
      </c>
      <c r="H42" t="inlineStr">
        <is>
          <t>да</t>
        </is>
      </c>
      <c r="I42" t="inlineStr">
        <is>
          <t>Tilda</t>
        </is>
      </c>
      <c r="J42" t="inlineStr">
        <is>
          <t>script_Tilda_MOCNA</t>
        </is>
      </c>
    </row>
    <row r="43">
      <c r="A43" t="inlineStr">
        <is>
          <t>2026-10-13 09:13</t>
        </is>
      </c>
      <c r="B43" t="inlineStr">
        <is>
          <t>21052978</t>
        </is>
      </c>
      <c r="C43" t="inlineStr">
        <is>
          <t>+48603672717</t>
        </is>
      </c>
      <c r="D43" t="inlineStr">
        <is>
          <t>Tunel 3x4m / 40x20mm</t>
        </is>
      </c>
      <c r="E43" t="n">
        <v>1</v>
      </c>
      <c r="F43" t="inlineStr">
        <is>
          <t>Нет метки</t>
        </is>
      </c>
      <c r="G43" t="inlineStr">
        <is>
          <t>Нет метки</t>
        </is>
      </c>
      <c r="H43" t="inlineStr">
        <is>
          <t>да</t>
        </is>
      </c>
      <c r="I43" t="inlineStr">
        <is>
          <t>Tilda</t>
        </is>
      </c>
      <c r="J43" t="inlineStr">
        <is>
          <t>script_Tilda_MOCNA</t>
        </is>
      </c>
    </row>
    <row r="44">
      <c r="A44" t="inlineStr">
        <is>
          <t>2026-10-13 08:18</t>
        </is>
      </c>
      <c r="B44" t="inlineStr">
        <is>
          <t>cfe9a9c4</t>
        </is>
      </c>
      <c r="C44" t="inlineStr">
        <is>
          <t>+48600750668</t>
        </is>
      </c>
      <c r="D44" t="inlineStr">
        <is>
          <t>Tunel 3x6m / 40x20mm 6mm</t>
        </is>
      </c>
      <c r="E44" t="n">
        <v>1</v>
      </c>
      <c r="F44" t="inlineStr">
        <is>
          <t>Телефон</t>
        </is>
      </c>
      <c r="G44" t="inlineStr">
        <is>
          <t>Телефон</t>
        </is>
      </c>
      <c r="H44" t="inlineStr">
        <is>
          <t>да</t>
        </is>
      </c>
      <c r="I44" t="inlineStr">
        <is>
          <t>Tilda</t>
        </is>
      </c>
      <c r="J44" t="inlineStr">
        <is>
          <t>m.mocnaszklarnia@profimetpl.com</t>
        </is>
      </c>
    </row>
    <row r="45">
      <c r="A45" t="inlineStr">
        <is>
          <t>2026-10-13 05:04</t>
        </is>
      </c>
      <c r="B45" t="inlineStr">
        <is>
          <t>20458306</t>
        </is>
      </c>
      <c r="C45" t="inlineStr">
        <is>
          <t>+48500205871</t>
        </is>
      </c>
      <c r="D45" t="inlineStr">
        <is>
          <t>Tunel 3x8m / 40x20mm</t>
        </is>
      </c>
      <c r="E45" t="n">
        <v>1</v>
      </c>
      <c r="F45" t="inlineStr">
        <is>
          <t>Google Ads</t>
        </is>
      </c>
      <c r="G45" t="inlineStr">
        <is>
          <t>Google Ads</t>
        </is>
      </c>
      <c r="H45" t="inlineStr">
        <is>
          <t>да</t>
        </is>
      </c>
      <c r="I45" t="inlineStr">
        <is>
          <t>Tilda</t>
        </is>
      </c>
      <c r="J45" t="inlineStr">
        <is>
          <t>script_Tilda_MOCNA</t>
        </is>
      </c>
    </row>
    <row r="46">
      <c r="A46" t="inlineStr">
        <is>
          <t>2026-10-12 17:58</t>
        </is>
      </c>
      <c r="B46" t="inlineStr">
        <is>
          <t>16111579</t>
        </is>
      </c>
      <c r="C46" t="inlineStr">
        <is>
          <t>+48609008100</t>
        </is>
      </c>
      <c r="D46" t="inlineStr">
        <is>
          <t>Tunel 2,5x2m / 40x20mm 6mm</t>
        </is>
      </c>
      <c r="E46" t="n">
        <v>1</v>
      </c>
      <c r="F46" t="inlineStr">
        <is>
          <t>Google Ads</t>
        </is>
      </c>
      <c r="G46" t="inlineStr">
        <is>
          <t>Google Ads</t>
        </is>
      </c>
      <c r="H46" t="inlineStr">
        <is>
          <t>да</t>
        </is>
      </c>
      <c r="I46" t="inlineStr">
        <is>
          <t>Tilda</t>
        </is>
      </c>
      <c r="J46" t="inlineStr">
        <is>
          <t>script_Tilda_MOCNA</t>
        </is>
      </c>
    </row>
    <row r="47">
      <c r="A47" t="inlineStr">
        <is>
          <t>2026-10-12 13:56</t>
        </is>
      </c>
      <c r="B47" t="inlineStr">
        <is>
          <t>13235134</t>
        </is>
      </c>
      <c r="C47" t="inlineStr">
        <is>
          <t>+48501122495</t>
        </is>
      </c>
      <c r="D47" t="inlineStr">
        <is>
          <t>Tunel 3x6m / 40x20mm 6mm</t>
        </is>
      </c>
      <c r="E47" t="n">
        <v>2</v>
      </c>
      <c r="F47" t="inlineStr">
        <is>
          <t>Google Ads</t>
        </is>
      </c>
      <c r="G47" t="inlineStr">
        <is>
          <t>Google Ads</t>
        </is>
      </c>
      <c r="H47" t="inlineStr">
        <is>
          <t>да</t>
        </is>
      </c>
      <c r="I47" t="inlineStr">
        <is>
          <t>Tilda</t>
        </is>
      </c>
      <c r="J47" t="inlineStr">
        <is>
          <t>script_Tilda_MOCNA</t>
        </is>
      </c>
    </row>
    <row r="48">
      <c r="A48" t="inlineStr">
        <is>
          <t>2026-10-12 13:21</t>
        </is>
      </c>
      <c r="B48" t="inlineStr">
        <is>
          <t>e1a27cd1</t>
        </is>
      </c>
      <c r="C48" t="inlineStr">
        <is>
          <t>+48661244529</t>
        </is>
      </c>
      <c r="D48" t="inlineStr">
        <is>
          <t>Tunel 3x6m / 40x20mm 6mm</t>
        </is>
      </c>
      <c r="E48" t="n">
        <v>1</v>
      </c>
      <c r="F48" t="inlineStr">
        <is>
          <t>Телефон</t>
        </is>
      </c>
      <c r="G48" t="inlineStr">
        <is>
          <t>Телефон</t>
        </is>
      </c>
      <c r="H48" t="inlineStr">
        <is>
          <t>да</t>
        </is>
      </c>
      <c r="I48" t="inlineStr">
        <is>
          <t>Tilda</t>
        </is>
      </c>
      <c r="J48" t="inlineStr">
        <is>
          <t>s.mocnaszklarnia@profimetpl.com</t>
        </is>
      </c>
    </row>
    <row r="49">
      <c r="A49" t="inlineStr">
        <is>
          <t>2026-10-12 12:47</t>
        </is>
      </c>
      <c r="B49" t="inlineStr">
        <is>
          <t>20714631</t>
        </is>
      </c>
      <c r="C49" t="inlineStr">
        <is>
          <t>+48693870204</t>
        </is>
      </c>
      <c r="D49" t="inlineStr">
        <is>
          <t>Tunel 3x4m / 40x20mm 6mm</t>
        </is>
      </c>
      <c r="E49" t="n">
        <v>1</v>
      </c>
      <c r="F49" t="inlineStr">
        <is>
          <t>Нет метки</t>
        </is>
      </c>
      <c r="G49" t="inlineStr">
        <is>
          <t>Нет метки</t>
        </is>
      </c>
      <c r="H49" t="inlineStr">
        <is>
          <t>да</t>
        </is>
      </c>
      <c r="I49" t="inlineStr">
        <is>
          <t>Tilda</t>
        </is>
      </c>
      <c r="J49" t="inlineStr">
        <is>
          <t>script_Tilda_MOCNA</t>
        </is>
      </c>
    </row>
    <row r="50">
      <c r="A50" t="inlineStr">
        <is>
          <t>2026-10-12 11:54</t>
        </is>
      </c>
      <c r="B50" t="inlineStr">
        <is>
          <t>18164445</t>
        </is>
      </c>
      <c r="C50" t="inlineStr">
        <is>
          <t>+48530052570</t>
        </is>
      </c>
      <c r="D50" t="inlineStr">
        <is>
          <t>Tunel 2x4m / 20x20mm 6mm</t>
        </is>
      </c>
      <c r="E50" t="n">
        <v>1</v>
      </c>
      <c r="F50" t="inlineStr">
        <is>
          <t>Нет метки</t>
        </is>
      </c>
      <c r="G50" t="inlineStr">
        <is>
          <t>Нет метки</t>
        </is>
      </c>
      <c r="H50" t="inlineStr">
        <is>
          <t>да</t>
        </is>
      </c>
      <c r="I50" t="inlineStr">
        <is>
          <t>Tilda</t>
        </is>
      </c>
      <c r="J50" t="inlineStr">
        <is>
          <t>script_Tilda_MOCNA</t>
        </is>
      </c>
    </row>
    <row r="51">
      <c r="A51" t="inlineStr">
        <is>
          <t>2026-10-12 11:39</t>
        </is>
      </c>
      <c r="B51" t="inlineStr">
        <is>
          <t>7ef3c028</t>
        </is>
      </c>
      <c r="C51" t="inlineStr">
        <is>
          <t>+48608210728</t>
        </is>
      </c>
      <c r="D51" t="inlineStr">
        <is>
          <t>Tunel 2,5x6m / 40x20mm 6mm</t>
        </is>
      </c>
      <c r="E51" t="n">
        <v>1</v>
      </c>
      <c r="F51" t="inlineStr">
        <is>
          <t>Телефон</t>
        </is>
      </c>
      <c r="G51" t="inlineStr">
        <is>
          <t>Телефон</t>
        </is>
      </c>
      <c r="H51" t="inlineStr">
        <is>
          <t>да</t>
        </is>
      </c>
      <c r="I51" t="inlineStr">
        <is>
          <t>Tilda</t>
        </is>
      </c>
      <c r="J51" t="inlineStr">
        <is>
          <t>m.mocnaszklarnia@profimetpl.com</t>
        </is>
      </c>
    </row>
    <row r="52">
      <c r="A52" t="inlineStr">
        <is>
          <t>2026-10-12 11:12</t>
        </is>
      </c>
      <c r="B52" t="inlineStr">
        <is>
          <t>30fd96b6</t>
        </is>
      </c>
      <c r="C52" t="inlineStr">
        <is>
          <t>+48600750668</t>
        </is>
      </c>
      <c r="D52" t="inlineStr">
        <is>
          <t>Tunel 3x6m / 40x20mm 6mm</t>
        </is>
      </c>
      <c r="E52" t="n">
        <v>1</v>
      </c>
      <c r="F52" t="inlineStr">
        <is>
          <t>Телефон</t>
        </is>
      </c>
      <c r="G52" t="inlineStr">
        <is>
          <t>Телефон</t>
        </is>
      </c>
      <c r="H52" t="inlineStr">
        <is>
          <t>да</t>
        </is>
      </c>
      <c r="I52" t="inlineStr">
        <is>
          <t>Tilda</t>
        </is>
      </c>
      <c r="J52" t="inlineStr">
        <is>
          <t>s.mocnaszklarnia@profimetpl.com</t>
        </is>
      </c>
    </row>
    <row r="53">
      <c r="A53" t="inlineStr">
        <is>
          <t>2026-10-12 11:11</t>
        </is>
      </c>
      <c r="B53" t="inlineStr">
        <is>
          <t>f6a46ab0</t>
        </is>
      </c>
      <c r="C53" t="inlineStr">
        <is>
          <t>+48668149723</t>
        </is>
      </c>
      <c r="D53" t="inlineStr">
        <is>
          <t>Tunel 3x6m / 40x20mm 6mm</t>
        </is>
      </c>
      <c r="E53" t="n">
        <v>1</v>
      </c>
      <c r="F53" t="inlineStr">
        <is>
          <t>Телефон</t>
        </is>
      </c>
      <c r="G53" t="inlineStr">
        <is>
          <t>Телефон</t>
        </is>
      </c>
      <c r="H53" t="inlineStr">
        <is>
          <t>да</t>
        </is>
      </c>
      <c r="I53" t="inlineStr">
        <is>
          <t>Tilda</t>
        </is>
      </c>
      <c r="J53" t="inlineStr">
        <is>
          <t>m.mocnaszklarnia@profimetpl.com</t>
        </is>
      </c>
    </row>
    <row r="54">
      <c r="A54" t="inlineStr">
        <is>
          <t>2026-10-11 10:31</t>
        </is>
      </c>
      <c r="B54" t="inlineStr">
        <is>
          <t>14903635</t>
        </is>
      </c>
      <c r="C54" t="inlineStr">
        <is>
          <t>+48515354567</t>
        </is>
      </c>
      <c r="D54" t="inlineStr">
        <is>
          <t>Tunel 2x2m / 20x20mm 6mm</t>
        </is>
      </c>
      <c r="E54" t="n">
        <v>1</v>
      </c>
      <c r="F54" t="inlineStr">
        <is>
          <t>Нет метки</t>
        </is>
      </c>
      <c r="G54" t="inlineStr">
        <is>
          <t>Нет метки</t>
        </is>
      </c>
      <c r="H54" t="inlineStr">
        <is>
          <t>да</t>
        </is>
      </c>
      <c r="I54" t="inlineStr">
        <is>
          <t>Tilda</t>
        </is>
      </c>
      <c r="J54" t="inlineStr">
        <is>
          <t>script_Tilda_MOCNA</t>
        </is>
      </c>
    </row>
    <row r="55">
      <c r="A55" t="inlineStr">
        <is>
          <t>2026-10-09 16:16</t>
        </is>
      </c>
      <c r="B55" t="inlineStr">
        <is>
          <t>17499309</t>
        </is>
      </c>
      <c r="C55" t="inlineStr">
        <is>
          <t>+48600897872</t>
        </is>
      </c>
      <c r="D55" t="inlineStr">
        <is>
          <t>Tunel 4x8m / 40x20mm 6mm</t>
        </is>
      </c>
      <c r="E55" t="n">
        <v>1</v>
      </c>
      <c r="F55" t="inlineStr">
        <is>
          <t>Нет метки</t>
        </is>
      </c>
      <c r="G55" t="inlineStr">
        <is>
          <t>Нет метки</t>
        </is>
      </c>
      <c r="H55" t="inlineStr">
        <is>
          <t>да</t>
        </is>
      </c>
      <c r="I55" t="inlineStr">
        <is>
          <t>Tilda</t>
        </is>
      </c>
      <c r="J55" t="inlineStr">
        <is>
          <t>script_Tilda_MOCNA</t>
        </is>
      </c>
    </row>
    <row r="56">
      <c r="A56" t="inlineStr">
        <is>
          <t>2026-10-09 10:43</t>
        </is>
      </c>
      <c r="B56" t="inlineStr">
        <is>
          <t>6d2df92f</t>
        </is>
      </c>
      <c r="C56" t="inlineStr">
        <is>
          <t>+48512369595</t>
        </is>
      </c>
      <c r="D56" t="inlineStr">
        <is>
          <t>Tunel 3x3m / 40x20mm 6mm</t>
        </is>
      </c>
      <c r="E56" t="n">
        <v>1</v>
      </c>
      <c r="F56" t="inlineStr">
        <is>
          <t>Телефон</t>
        </is>
      </c>
      <c r="G56" t="inlineStr">
        <is>
          <t>Телефон</t>
        </is>
      </c>
      <c r="H56" t="inlineStr">
        <is>
          <t>да</t>
        </is>
      </c>
      <c r="I56" t="inlineStr">
        <is>
          <t>Tilda</t>
        </is>
      </c>
      <c r="J56" t="inlineStr">
        <is>
          <t>m.mocnaszklarnia@profimetpl.com</t>
        </is>
      </c>
    </row>
    <row r="57">
      <c r="A57" t="inlineStr">
        <is>
          <t>2026-10-09 09:57</t>
        </is>
      </c>
      <c r="B57" t="inlineStr">
        <is>
          <t>e54abce6</t>
        </is>
      </c>
      <c r="C57" t="inlineStr">
        <is>
          <t>+48666223111</t>
        </is>
      </c>
      <c r="D57" t="inlineStr">
        <is>
          <t>Tunel 3x6m / 40x20mm 6mm</t>
        </is>
      </c>
      <c r="E57" t="n">
        <v>1</v>
      </c>
      <c r="F57" t="inlineStr">
        <is>
          <t>Телефон</t>
        </is>
      </c>
      <c r="G57" t="inlineStr">
        <is>
          <t>Телефон</t>
        </is>
      </c>
      <c r="H57" t="inlineStr">
        <is>
          <t>да</t>
        </is>
      </c>
      <c r="I57" t="inlineStr">
        <is>
          <t>Tilda</t>
        </is>
      </c>
      <c r="J57" t="inlineStr">
        <is>
          <t>m.mocnaszklarnia@profimetpl.com</t>
        </is>
      </c>
    </row>
    <row r="58">
      <c r="A58" t="inlineStr">
        <is>
          <t>2026-10-09 08:36</t>
        </is>
      </c>
      <c r="B58" t="inlineStr">
        <is>
          <t>a739a3bc</t>
        </is>
      </c>
      <c r="C58" t="inlineStr">
        <is>
          <t>+48605973152</t>
        </is>
      </c>
      <c r="D58" t="inlineStr">
        <is>
          <t>Domek 2.5x4m / 40x20mm</t>
        </is>
      </c>
      <c r="E58" t="n">
        <v>1</v>
      </c>
      <c r="F58" t="inlineStr">
        <is>
          <t>Телефон</t>
        </is>
      </c>
      <c r="G58" t="inlineStr">
        <is>
          <t>Телефон</t>
        </is>
      </c>
      <c r="H58" t="inlineStr">
        <is>
          <t>да</t>
        </is>
      </c>
      <c r="I58" t="inlineStr">
        <is>
          <t>Tilda</t>
        </is>
      </c>
      <c r="J58" t="inlineStr">
        <is>
          <t>s.mocnaszklarnia@profimetpl.com</t>
        </is>
      </c>
    </row>
    <row r="59">
      <c r="A59" t="inlineStr">
        <is>
          <t>2026-10-09 00:00</t>
        </is>
      </c>
      <c r="B59" t="inlineStr">
        <is>
          <t>94230110</t>
        </is>
      </c>
      <c r="C59" t="inlineStr">
        <is>
          <t>+48791035339</t>
        </is>
      </c>
      <c r="D59" t="inlineStr">
        <is>
          <t>Domek 2.5x4m / 40x20mm 6mm</t>
        </is>
      </c>
      <c r="E59" t="n">
        <v>1</v>
      </c>
      <c r="F59" t="inlineStr">
        <is>
          <t>Телефон</t>
        </is>
      </c>
      <c r="G59" t="inlineStr">
        <is>
          <t>Телефон</t>
        </is>
      </c>
      <c r="H59" t="inlineStr">
        <is>
          <t>да</t>
        </is>
      </c>
      <c r="I59" t="inlineStr">
        <is>
          <t>Tilda</t>
        </is>
      </c>
      <c r="J59" t="inlineStr">
        <is>
          <t>m.mocnaszklarnia@profimetpl.com</t>
        </is>
      </c>
    </row>
    <row r="60">
      <c r="A60" t="inlineStr">
        <is>
          <t>2026-10-08 13:48</t>
        </is>
      </c>
      <c r="B60" t="inlineStr">
        <is>
          <t>20611422</t>
        </is>
      </c>
      <c r="C60" t="inlineStr">
        <is>
          <t>+48501843523</t>
        </is>
      </c>
      <c r="D60" t="inlineStr">
        <is>
          <t>Tunel 3x8m / 40x20mm</t>
        </is>
      </c>
      <c r="E60" t="n">
        <v>1</v>
      </c>
      <c r="F60" t="inlineStr">
        <is>
          <t>Google Ads</t>
        </is>
      </c>
      <c r="G60" t="inlineStr">
        <is>
          <t>Google Ads</t>
        </is>
      </c>
      <c r="H60" t="inlineStr">
        <is>
          <t>да</t>
        </is>
      </c>
      <c r="I60" t="inlineStr">
        <is>
          <t>Tilda</t>
        </is>
      </c>
      <c r="J60" t="inlineStr">
        <is>
          <t>script_Tilda_MOCNA</t>
        </is>
      </c>
    </row>
    <row r="61">
      <c r="A61" t="inlineStr">
        <is>
          <t>2026-10-08 11:33</t>
        </is>
      </c>
      <c r="B61" t="inlineStr">
        <is>
          <t>3fba76a6</t>
        </is>
      </c>
      <c r="C61" t="inlineStr">
        <is>
          <t>+48691264130</t>
        </is>
      </c>
      <c r="D61" t="inlineStr">
        <is>
          <t>Tunel 3x2m / 40x20mm 6mm</t>
        </is>
      </c>
      <c r="E61" t="n">
        <v>1</v>
      </c>
      <c r="F61" t="inlineStr">
        <is>
          <t>Телефон</t>
        </is>
      </c>
      <c r="G61" t="inlineStr">
        <is>
          <t>Телефон</t>
        </is>
      </c>
      <c r="H61" t="inlineStr">
        <is>
          <t>да</t>
        </is>
      </c>
      <c r="I61" t="inlineStr">
        <is>
          <t>Tilda</t>
        </is>
      </c>
      <c r="J61" t="inlineStr">
        <is>
          <t>m.mocnaszklarnia@profimetpl.com</t>
        </is>
      </c>
    </row>
    <row r="62">
      <c r="A62" t="inlineStr">
        <is>
          <t>2026-10-08 11:11</t>
        </is>
      </c>
      <c r="B62" t="inlineStr">
        <is>
          <t>edcb5584</t>
        </is>
      </c>
      <c r="C62" t="inlineStr">
        <is>
          <t>+48506083116</t>
        </is>
      </c>
      <c r="D62" t="inlineStr">
        <is>
          <t>Tunel 3x4m / 40x20mm</t>
        </is>
      </c>
      <c r="E62" t="n">
        <v>1</v>
      </c>
      <c r="F62" t="inlineStr">
        <is>
          <t>Телефон</t>
        </is>
      </c>
      <c r="G62" t="inlineStr">
        <is>
          <t>Телефон</t>
        </is>
      </c>
      <c r="H62" t="inlineStr">
        <is>
          <t>да</t>
        </is>
      </c>
      <c r="I62" t="inlineStr">
        <is>
          <t>Tilda</t>
        </is>
      </c>
      <c r="J62" t="inlineStr">
        <is>
          <t>s.mocnaszklarnia@profimetpl.com</t>
        </is>
      </c>
    </row>
    <row r="63">
      <c r="A63" t="inlineStr">
        <is>
          <t>2026-10-08 10:51</t>
        </is>
      </c>
      <c r="B63" t="inlineStr">
        <is>
          <t>7f1fb7ef</t>
        </is>
      </c>
      <c r="C63" t="inlineStr">
        <is>
          <t>+48698055633</t>
        </is>
      </c>
      <c r="D63" t="inlineStr">
        <is>
          <t>Domek 2.5x4m / 40x20mm</t>
        </is>
      </c>
      <c r="E63" t="n">
        <v>1</v>
      </c>
      <c r="F63" t="inlineStr">
        <is>
          <t>Телефон</t>
        </is>
      </c>
      <c r="G63" t="inlineStr">
        <is>
          <t>Телефон</t>
        </is>
      </c>
      <c r="H63" t="inlineStr">
        <is>
          <t>да</t>
        </is>
      </c>
      <c r="I63" t="inlineStr">
        <is>
          <t>Tilda</t>
        </is>
      </c>
      <c r="J63" t="inlineStr">
        <is>
          <t>s.mocnaszklarnia@profimetpl.com</t>
        </is>
      </c>
    </row>
    <row r="64">
      <c r="A64" t="inlineStr">
        <is>
          <t>2026-10-08 09:07</t>
        </is>
      </c>
      <c r="B64" t="inlineStr">
        <is>
          <t>e20dff5e</t>
        </is>
      </c>
      <c r="C64" t="inlineStr">
        <is>
          <t>+48693156253</t>
        </is>
      </c>
      <c r="D64" t="inlineStr">
        <is>
          <t>Tunel 3x4m / 40x20mm 6mm</t>
        </is>
      </c>
      <c r="E64" t="n">
        <v>1</v>
      </c>
      <c r="F64" t="inlineStr">
        <is>
          <t>Телефон</t>
        </is>
      </c>
      <c r="G64" t="inlineStr">
        <is>
          <t>Телефон</t>
        </is>
      </c>
      <c r="H64" t="inlineStr">
        <is>
          <t>да</t>
        </is>
      </c>
      <c r="I64" t="inlineStr">
        <is>
          <t>Tilda</t>
        </is>
      </c>
      <c r="J64" t="inlineStr">
        <is>
          <t>m.mocnaszklarnia@profimetpl.com</t>
        </is>
      </c>
    </row>
    <row r="65">
      <c r="A65" t="inlineStr">
        <is>
          <t>2026-10-08 07:20</t>
        </is>
      </c>
      <c r="B65" t="inlineStr">
        <is>
          <t>52abba6a</t>
        </is>
      </c>
      <c r="C65" t="inlineStr">
        <is>
          <t>+48504790204</t>
        </is>
      </c>
      <c r="D65" t="inlineStr">
        <is>
          <t>Tunel 3x10m / 40x20mm 6mm</t>
        </is>
      </c>
      <c r="E65" t="n">
        <v>1</v>
      </c>
      <c r="F65" t="inlineStr">
        <is>
          <t>Телефон</t>
        </is>
      </c>
      <c r="G65" t="inlineStr">
        <is>
          <t>Телефон</t>
        </is>
      </c>
      <c r="H65" t="inlineStr">
        <is>
          <t>да</t>
        </is>
      </c>
      <c r="I65" t="inlineStr">
        <is>
          <t>Tilda</t>
        </is>
      </c>
      <c r="J65" t="inlineStr">
        <is>
          <t>m.mocnaszklarnia@profimetpl.com</t>
        </is>
      </c>
    </row>
    <row r="66">
      <c r="A66" t="inlineStr">
        <is>
          <t>2026-10-07 09:04</t>
        </is>
      </c>
      <c r="B66" t="inlineStr">
        <is>
          <t>20245741</t>
        </is>
      </c>
      <c r="C66" t="inlineStr">
        <is>
          <t>+48513094697</t>
        </is>
      </c>
      <c r="D66" t="inlineStr">
        <is>
          <t>Tunel 3,5x6m / 40x20mm 6mm</t>
        </is>
      </c>
      <c r="E66" t="n">
        <v>1</v>
      </c>
      <c r="F66" t="inlineStr">
        <is>
          <t>Нет метки</t>
        </is>
      </c>
      <c r="G66" t="inlineStr">
        <is>
          <t>Нет метки</t>
        </is>
      </c>
      <c r="H66" t="inlineStr">
        <is>
          <t>да</t>
        </is>
      </c>
      <c r="I66" t="inlineStr">
        <is>
          <t>Tilda</t>
        </is>
      </c>
      <c r="J66" t="inlineStr">
        <is>
          <t>script_Tilda_MOCNA</t>
        </is>
      </c>
    </row>
    <row r="67">
      <c r="A67" t="inlineStr">
        <is>
          <t>2026-10-06 18:46</t>
        </is>
      </c>
      <c r="B67" t="inlineStr">
        <is>
          <t>12850416</t>
        </is>
      </c>
      <c r="C67" t="inlineStr">
        <is>
          <t>+48726075546</t>
        </is>
      </c>
      <c r="D67" t="inlineStr">
        <is>
          <t>Tunel 3x6m / 40x20mm (D) 6mm</t>
        </is>
      </c>
      <c r="E67" t="n">
        <v>1</v>
      </c>
      <c r="F67" t="inlineStr">
        <is>
          <t>Google Ads</t>
        </is>
      </c>
      <c r="G67" t="inlineStr">
        <is>
          <t>Google Ads</t>
        </is>
      </c>
      <c r="H67" t="inlineStr">
        <is>
          <t>да</t>
        </is>
      </c>
      <c r="I67" t="inlineStr">
        <is>
          <t>Tilda</t>
        </is>
      </c>
      <c r="J67" t="inlineStr">
        <is>
          <t>script_Tilda_MOCNA</t>
        </is>
      </c>
    </row>
    <row r="68">
      <c r="A68" t="inlineStr">
        <is>
          <t>2026-10-06 17:56</t>
        </is>
      </c>
      <c r="B68" t="inlineStr">
        <is>
          <t>18846728</t>
        </is>
      </c>
      <c r="C68" t="inlineStr">
        <is>
          <t>+48603832761</t>
        </is>
      </c>
      <c r="D68" t="inlineStr"/>
      <c r="E68" t="n">
        <v>1</v>
      </c>
      <c r="F68" t="inlineStr">
        <is>
          <t>Нет метки</t>
        </is>
      </c>
      <c r="G68" t="inlineStr"/>
      <c r="H68" t="inlineStr">
        <is>
          <t>нет</t>
        </is>
      </c>
      <c r="I68" t="inlineStr"/>
      <c r="J68" t="inlineStr"/>
    </row>
    <row r="69">
      <c r="A69" t="inlineStr">
        <is>
          <t>2026-10-06 10:26</t>
        </is>
      </c>
      <c r="B69" t="inlineStr">
        <is>
          <t>b6188b62</t>
        </is>
      </c>
      <c r="C69" t="inlineStr">
        <is>
          <t>+48604850535</t>
        </is>
      </c>
      <c r="D69" t="inlineStr">
        <is>
          <t>Tunel 3x5m / 40x20mm 6mm</t>
        </is>
      </c>
      <c r="E69" t="n">
        <v>1</v>
      </c>
      <c r="F69" t="inlineStr">
        <is>
          <t>Телефон</t>
        </is>
      </c>
      <c r="G69" t="inlineStr">
        <is>
          <t>Нет метки</t>
        </is>
      </c>
      <c r="H69" t="inlineStr">
        <is>
          <t>да</t>
        </is>
      </c>
      <c r="I69" t="inlineStr">
        <is>
          <t>Tilda</t>
        </is>
      </c>
      <c r="J69" t="inlineStr">
        <is>
          <t>s.mocnaszklarnia@profimetpl.com</t>
        </is>
      </c>
    </row>
    <row r="70">
      <c r="A70" t="inlineStr">
        <is>
          <t>2026-10-06 09:27</t>
        </is>
      </c>
      <c r="B70" t="inlineStr">
        <is>
          <t>798061f6</t>
        </is>
      </c>
      <c r="C70" t="inlineStr">
        <is>
          <t>+48607440492</t>
        </is>
      </c>
      <c r="D70" t="inlineStr"/>
      <c r="E70" t="n">
        <v>1</v>
      </c>
      <c r="F70" t="inlineStr">
        <is>
          <t>Телефон</t>
        </is>
      </c>
      <c r="G70" t="inlineStr"/>
      <c r="H70" t="inlineStr">
        <is>
          <t>нет</t>
        </is>
      </c>
      <c r="I70" t="inlineStr"/>
      <c r="J70" t="inlineStr"/>
    </row>
    <row r="71">
      <c r="A71" t="inlineStr">
        <is>
          <t>2026-10-05 19:19</t>
        </is>
      </c>
      <c r="B71" t="inlineStr">
        <is>
          <t>19651315</t>
        </is>
      </c>
      <c r="C71" t="inlineStr">
        <is>
          <t>+48600787563</t>
        </is>
      </c>
      <c r="D71" t="inlineStr">
        <is>
          <t>Tunel 3,5x8m / 40x20mm 6mm</t>
        </is>
      </c>
      <c r="E71" t="n">
        <v>1</v>
      </c>
      <c r="F71" t="inlineStr">
        <is>
          <t>Нет метки</t>
        </is>
      </c>
      <c r="G71" t="inlineStr">
        <is>
          <t>Нет метки</t>
        </is>
      </c>
      <c r="H71" t="inlineStr">
        <is>
          <t>да</t>
        </is>
      </c>
      <c r="I71" t="inlineStr">
        <is>
          <t>Tilda</t>
        </is>
      </c>
      <c r="J71" t="inlineStr">
        <is>
          <t>script_Tilda_MOCNA</t>
        </is>
      </c>
    </row>
    <row r="72">
      <c r="A72" t="inlineStr">
        <is>
          <t>2026-10-05 16:20</t>
        </is>
      </c>
      <c r="B72" t="inlineStr">
        <is>
          <t>16302141</t>
        </is>
      </c>
      <c r="C72" t="inlineStr">
        <is>
          <t>+48663757987</t>
        </is>
      </c>
      <c r="D72" t="inlineStr">
        <is>
          <t>Tunel 3x8m / 40x20mm 6mm</t>
        </is>
      </c>
      <c r="E72" t="n">
        <v>1</v>
      </c>
      <c r="F72" t="inlineStr">
        <is>
          <t>Нет метки</t>
        </is>
      </c>
      <c r="G72" t="inlineStr">
        <is>
          <t>Нет метки</t>
        </is>
      </c>
      <c r="H72" t="inlineStr">
        <is>
          <t>да</t>
        </is>
      </c>
      <c r="I72" t="inlineStr">
        <is>
          <t>Tilda</t>
        </is>
      </c>
      <c r="J72" t="inlineStr">
        <is>
          <t>script_Tilda_MOCNA</t>
        </is>
      </c>
    </row>
    <row r="73">
      <c r="A73" t="inlineStr">
        <is>
          <t>2026-10-05 13:46</t>
        </is>
      </c>
      <c r="B73" t="inlineStr">
        <is>
          <t>3c8a183d</t>
        </is>
      </c>
      <c r="C73" t="inlineStr">
        <is>
          <t>+48608576865</t>
        </is>
      </c>
      <c r="D73" t="inlineStr">
        <is>
          <t>Tunel 3,5x6m / 40x20mm 6mm</t>
        </is>
      </c>
      <c r="E73" t="n">
        <v>1</v>
      </c>
      <c r="F73" t="inlineStr">
        <is>
          <t>Телефон</t>
        </is>
      </c>
      <c r="G73" t="inlineStr">
        <is>
          <t>Нет метки</t>
        </is>
      </c>
      <c r="H73" t="inlineStr">
        <is>
          <t>да</t>
        </is>
      </c>
      <c r="I73" t="inlineStr">
        <is>
          <t>Tilda</t>
        </is>
      </c>
      <c r="J73" t="inlineStr">
        <is>
          <t>m.mocnaszklarnia@profimetpl.com</t>
        </is>
      </c>
    </row>
    <row r="74">
      <c r="A74" t="inlineStr">
        <is>
          <t>2026-10-05 12:22</t>
        </is>
      </c>
      <c r="B74" t="inlineStr">
        <is>
          <t>21230251</t>
        </is>
      </c>
      <c r="C74" t="inlineStr">
        <is>
          <t>+48662961729</t>
        </is>
      </c>
      <c r="D74" t="inlineStr">
        <is>
          <t>Domek 2,1x6m / 40x20mm 6mm</t>
        </is>
      </c>
      <c r="E74" t="n">
        <v>1</v>
      </c>
      <c r="F74" t="inlineStr">
        <is>
          <t>Google Ads</t>
        </is>
      </c>
      <c r="G74" t="inlineStr">
        <is>
          <t>Google Ads</t>
        </is>
      </c>
      <c r="H74" t="inlineStr">
        <is>
          <t>да</t>
        </is>
      </c>
      <c r="I74" t="inlineStr">
        <is>
          <t>Tilda</t>
        </is>
      </c>
      <c r="J74" t="inlineStr">
        <is>
          <t>script_Tilda_MOCNA</t>
        </is>
      </c>
    </row>
    <row r="75">
      <c r="A75" t="inlineStr">
        <is>
          <t>2026-10-05 12:04</t>
        </is>
      </c>
      <c r="B75" t="inlineStr">
        <is>
          <t>7bc0f055</t>
        </is>
      </c>
      <c r="C75" t="inlineStr">
        <is>
          <t>+48662066626</t>
        </is>
      </c>
      <c r="D75" t="inlineStr">
        <is>
          <t>Tunel 3x4m / 40x20mm 6mm</t>
        </is>
      </c>
      <c r="E75" t="n">
        <v>1</v>
      </c>
      <c r="F75" t="inlineStr">
        <is>
          <t>Телефон</t>
        </is>
      </c>
      <c r="G75" t="inlineStr">
        <is>
          <t>Телефон</t>
        </is>
      </c>
      <c r="H75" t="inlineStr">
        <is>
          <t>да</t>
        </is>
      </c>
      <c r="I75" t="inlineStr">
        <is>
          <t>Tilda</t>
        </is>
      </c>
      <c r="J75" t="inlineStr">
        <is>
          <t>s.mocnaszklarnia@profimetpl.com</t>
        </is>
      </c>
    </row>
    <row r="76">
      <c r="A76" t="inlineStr">
        <is>
          <t>2026-10-05 10:14</t>
        </is>
      </c>
      <c r="B76" t="inlineStr">
        <is>
          <t>b71d68bd</t>
        </is>
      </c>
      <c r="C76" t="inlineStr">
        <is>
          <t>+48512085168</t>
        </is>
      </c>
      <c r="D76" t="inlineStr">
        <is>
          <t>Tunel 3x6m / 40x20mm 6mm</t>
        </is>
      </c>
      <c r="E76" t="n">
        <v>1</v>
      </c>
      <c r="F76" t="inlineStr">
        <is>
          <t>Телефон</t>
        </is>
      </c>
      <c r="G76" t="inlineStr">
        <is>
          <t>Телефон</t>
        </is>
      </c>
      <c r="H76" t="inlineStr">
        <is>
          <t>да</t>
        </is>
      </c>
      <c r="I76" t="inlineStr">
        <is>
          <t>Tilda</t>
        </is>
      </c>
      <c r="J76" t="inlineStr">
        <is>
          <t>s.mocnaszklarnia@profimetpl.com</t>
        </is>
      </c>
    </row>
    <row r="77">
      <c r="A77" t="inlineStr">
        <is>
          <t>2026-10-05 09:42</t>
        </is>
      </c>
      <c r="B77" t="inlineStr">
        <is>
          <t>7cd5d270</t>
        </is>
      </c>
      <c r="C77" t="inlineStr">
        <is>
          <t>+48606525915</t>
        </is>
      </c>
      <c r="D77" t="inlineStr"/>
      <c r="E77" t="n">
        <v>1</v>
      </c>
      <c r="F77" t="inlineStr">
        <is>
          <t>Телефон</t>
        </is>
      </c>
      <c r="G77" t="inlineStr"/>
      <c r="H77" t="inlineStr">
        <is>
          <t>нет</t>
        </is>
      </c>
      <c r="I77" t="inlineStr"/>
      <c r="J77" t="inlineStr"/>
    </row>
    <row r="78">
      <c r="A78" t="inlineStr">
        <is>
          <t>2026-10-05 00:00</t>
        </is>
      </c>
      <c r="B78" t="inlineStr">
        <is>
          <t>191e4209</t>
        </is>
      </c>
      <c r="C78" t="inlineStr">
        <is>
          <t>+48500497461</t>
        </is>
      </c>
      <c r="D78" t="inlineStr">
        <is>
          <t>Tunel 2x3m / 20x20mm; Tunel 2,5x6m / 40x20mm</t>
        </is>
      </c>
      <c r="E78" t="n">
        <v>2</v>
      </c>
      <c r="F78" t="inlineStr">
        <is>
          <t>Телефон</t>
        </is>
      </c>
      <c r="G78" t="inlineStr">
        <is>
          <t>Телефон</t>
        </is>
      </c>
      <c r="H78" t="inlineStr">
        <is>
          <t>да</t>
        </is>
      </c>
      <c r="I78" t="inlineStr">
        <is>
          <t>Tilda</t>
        </is>
      </c>
      <c r="J78" t="inlineStr">
        <is>
          <t>profimet100@gmail.com</t>
        </is>
      </c>
    </row>
    <row r="79">
      <c r="A79" t="inlineStr">
        <is>
          <t>2026-10-05 00:00</t>
        </is>
      </c>
      <c r="B79" t="inlineStr">
        <is>
          <t>e2cc8524</t>
        </is>
      </c>
      <c r="C79" t="inlineStr">
        <is>
          <t>+48533892552</t>
        </is>
      </c>
      <c r="D79" t="inlineStr">
        <is>
          <t>Tunel 3x8m / 40x20mm 6mm</t>
        </is>
      </c>
      <c r="E79" t="n">
        <v>1</v>
      </c>
      <c r="F79" t="inlineStr">
        <is>
          <t>Телефон</t>
        </is>
      </c>
      <c r="G79" t="inlineStr">
        <is>
          <t>Телефон</t>
        </is>
      </c>
      <c r="H79" t="inlineStr">
        <is>
          <t>да</t>
        </is>
      </c>
      <c r="I79" t="inlineStr">
        <is>
          <t>Tilda</t>
        </is>
      </c>
      <c r="J79" t="inlineStr">
        <is>
          <t>s.mocnaszklarnia@profimetpl.com</t>
        </is>
      </c>
    </row>
    <row r="80">
      <c r="A80" t="inlineStr">
        <is>
          <t>2026-10-05 00:00</t>
        </is>
      </c>
      <c r="B80" t="inlineStr">
        <is>
          <t>eb672196</t>
        </is>
      </c>
      <c r="C80" t="inlineStr">
        <is>
          <t>+48694092284</t>
        </is>
      </c>
      <c r="D80" t="inlineStr"/>
      <c r="E80" t="n">
        <v>1</v>
      </c>
      <c r="F80" t="inlineStr">
        <is>
          <t>Телефон</t>
        </is>
      </c>
      <c r="G80" t="inlineStr"/>
      <c r="H80" t="inlineStr">
        <is>
          <t>нет</t>
        </is>
      </c>
      <c r="I80" t="inlineStr"/>
      <c r="J80" t="inlineStr"/>
    </row>
    <row r="81">
      <c r="A81" t="inlineStr">
        <is>
          <t>2026-10-04 11:35</t>
        </is>
      </c>
      <c r="B81" t="inlineStr">
        <is>
          <t>21464984</t>
        </is>
      </c>
      <c r="C81" t="inlineStr">
        <is>
          <t>+48883770449</t>
        </is>
      </c>
      <c r="D81" t="inlineStr">
        <is>
          <t>Tunel 3x4m / 40x20mm</t>
        </is>
      </c>
      <c r="E81" t="n">
        <v>1</v>
      </c>
      <c r="F81" t="inlineStr">
        <is>
          <t>Нет метки</t>
        </is>
      </c>
      <c r="G81" t="inlineStr">
        <is>
          <t>Нет метки</t>
        </is>
      </c>
      <c r="H81" t="inlineStr">
        <is>
          <t>да</t>
        </is>
      </c>
      <c r="I81" t="inlineStr">
        <is>
          <t>Tilda</t>
        </is>
      </c>
      <c r="J81" t="inlineStr">
        <is>
          <t>script_Tilda_MOCNA</t>
        </is>
      </c>
    </row>
    <row r="82">
      <c r="A82" t="inlineStr">
        <is>
          <t>2026-10-02 12:54</t>
        </is>
      </c>
      <c r="B82" t="inlineStr">
        <is>
          <t>981ffdbd</t>
        </is>
      </c>
      <c r="C82" t="inlineStr">
        <is>
          <t>+48663682445</t>
        </is>
      </c>
      <c r="D82" t="inlineStr">
        <is>
          <t>Tunel 3x6m / 40x20mm 6mm</t>
        </is>
      </c>
      <c r="E82" t="n">
        <v>1</v>
      </c>
      <c r="F82" t="inlineStr">
        <is>
          <t>Телефон</t>
        </is>
      </c>
      <c r="G82" t="inlineStr">
        <is>
          <t>Телефон</t>
        </is>
      </c>
      <c r="H82" t="inlineStr">
        <is>
          <t>да</t>
        </is>
      </c>
      <c r="I82" t="inlineStr">
        <is>
          <t>Tilda</t>
        </is>
      </c>
      <c r="J82" t="inlineStr">
        <is>
          <t>m.mocnaszklarnia@profimetpl.com</t>
        </is>
      </c>
    </row>
    <row r="83">
      <c r="A83" t="inlineStr">
        <is>
          <t>2026-10-02 07:27</t>
        </is>
      </c>
      <c r="B83" t="inlineStr">
        <is>
          <t>7c63525e</t>
        </is>
      </c>
      <c r="C83" t="inlineStr">
        <is>
          <t>+48500490470</t>
        </is>
      </c>
      <c r="D83" t="inlineStr">
        <is>
          <t>Tunel 2,5x6m / 40x20mm</t>
        </is>
      </c>
      <c r="E83" t="n">
        <v>1</v>
      </c>
      <c r="F83" t="inlineStr">
        <is>
          <t>Телефон</t>
        </is>
      </c>
      <c r="G83" t="inlineStr">
        <is>
          <t>Телефон</t>
        </is>
      </c>
      <c r="H83" t="inlineStr">
        <is>
          <t>да</t>
        </is>
      </c>
      <c r="I83" t="inlineStr">
        <is>
          <t>Tilda</t>
        </is>
      </c>
      <c r="J83" t="inlineStr">
        <is>
          <t>s.mocnaszklarnia@profimetpl.com</t>
        </is>
      </c>
    </row>
    <row r="84">
      <c r="A84" t="inlineStr">
        <is>
          <t>2026-10-02 06:20</t>
        </is>
      </c>
      <c r="B84" t="inlineStr">
        <is>
          <t>f7b9bc52</t>
        </is>
      </c>
      <c r="C84" t="inlineStr">
        <is>
          <t>+48691018683</t>
        </is>
      </c>
      <c r="D84" t="inlineStr"/>
      <c r="E84" t="n">
        <v>1</v>
      </c>
      <c r="F84" t="inlineStr">
        <is>
          <t>Телефон</t>
        </is>
      </c>
      <c r="G84" t="inlineStr"/>
      <c r="H84" t="inlineStr">
        <is>
          <t>нет</t>
        </is>
      </c>
      <c r="I84" t="inlineStr"/>
      <c r="J84" t="inlineStr"/>
    </row>
    <row r="85">
      <c r="A85" t="inlineStr">
        <is>
          <t>2026-10-01 15:24</t>
        </is>
      </c>
      <c r="B85" t="inlineStr">
        <is>
          <t>12663042</t>
        </is>
      </c>
      <c r="C85" t="inlineStr">
        <is>
          <t>+48506793586</t>
        </is>
      </c>
      <c r="D85" t="inlineStr">
        <is>
          <t>Tunel 2,5x6m / 40x20mm 6mm</t>
        </is>
      </c>
      <c r="E85" t="n">
        <v>1</v>
      </c>
      <c r="F85" t="inlineStr">
        <is>
          <t>Google Ads</t>
        </is>
      </c>
      <c r="G85" t="inlineStr">
        <is>
          <t>Google Ads</t>
        </is>
      </c>
      <c r="H85" t="inlineStr">
        <is>
          <t>да</t>
        </is>
      </c>
      <c r="I85" t="inlineStr">
        <is>
          <t>Tilda</t>
        </is>
      </c>
      <c r="J85" t="inlineStr">
        <is>
          <t>script_Tilda_MOCNA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20" customWidth="1" min="4" max="4"/>
    <col width="22" customWidth="1" min="5" max="5"/>
    <col width="90" customWidth="1" min="6" max="6"/>
  </cols>
  <sheetData>
    <row r="1">
      <c r="A1" s="13" t="inlineStr">
        <is>
          <t>Раздел</t>
        </is>
      </c>
      <c r="B1" s="13" t="inlineStr">
        <is>
          <t>Заказ</t>
        </is>
      </c>
      <c r="C1" s="13" t="inlineStr">
        <is>
          <t>Дата</t>
        </is>
      </c>
      <c r="D1" s="13" t="inlineStr">
        <is>
          <t>Источник у клиента</t>
        </is>
      </c>
      <c r="E1" s="13" t="inlineStr">
        <is>
          <t>Источник по правилу клиента</t>
        </is>
      </c>
      <c r="F1" s="13" t="inlineStr">
        <is>
          <t>Причина</t>
        </is>
      </c>
    </row>
    <row r="2">
      <c r="A2" t="inlineStr">
        <is>
          <t>Есть у клиента, нет у нас</t>
        </is>
      </c>
      <c r="B2" t="inlineStr">
        <is>
          <t>02b0adbd</t>
        </is>
      </c>
      <c r="C2" t="inlineStr">
        <is>
          <t>2026-10-20 07:11</t>
        </is>
      </c>
      <c r="D2" t="inlineStr">
        <is>
          <t>Нет метки</t>
        </is>
      </c>
      <c r="E2" t="inlineStr"/>
      <c r="F2" s="14" t="inlineStr">
        <is>
          <t>Заказа с таким номером в выгрузке CRM нет, есть только обращения с этим телефоном</t>
        </is>
      </c>
    </row>
    <row r="3">
      <c r="A3" t="inlineStr">
        <is>
          <t>Есть у клиента, нет у нас</t>
        </is>
      </c>
      <c r="B3" t="inlineStr">
        <is>
          <t>0b7a7433</t>
        </is>
      </c>
      <c r="C3" t="inlineStr">
        <is>
          <t>2026-10-16 07:28</t>
        </is>
      </c>
      <c r="D3" t="inlineStr">
        <is>
          <t>Нет метки</t>
        </is>
      </c>
      <c r="E3" t="inlineStr"/>
      <c r="F3" s="14" t="inlineStr">
        <is>
          <t>Заказа с таким номером в выгрузке CRM нет, есть только обращения с этим телефоном</t>
        </is>
      </c>
    </row>
    <row r="4">
      <c r="A4" t="inlineStr">
        <is>
          <t>Источник у клиента другой</t>
        </is>
      </c>
      <c r="B4" t="inlineStr">
        <is>
          <t>778938e9</t>
        </is>
      </c>
      <c r="C4" t="inlineStr">
        <is>
          <t>2026-10-15 08:55</t>
        </is>
      </c>
      <c r="D4" t="inlineStr">
        <is>
          <t>Нет метки</t>
        </is>
      </c>
      <c r="E4" t="inlineStr">
        <is>
          <t>Телефон</t>
        </is>
      </c>
      <c r="F4" s="14" t="inlineStr">
        <is>
          <t>Правило клиента даёт «Телефон», у клиента «Нет метки» (вероятно, менеджер выбрал источник вручную)</t>
        </is>
      </c>
    </row>
    <row r="5">
      <c r="A5" t="inlineStr">
        <is>
          <t>Есть у клиента, нет у нас</t>
        </is>
      </c>
      <c r="B5" t="inlineStr">
        <is>
          <t>3fa3d10e</t>
        </is>
      </c>
      <c r="C5" t="inlineStr">
        <is>
          <t>2026-10-14 14:14</t>
        </is>
      </c>
      <c r="D5" t="inlineStr">
        <is>
          <t>Телефон</t>
        </is>
      </c>
      <c r="E5" t="inlineStr"/>
      <c r="F5" s="14" t="inlineStr">
        <is>
          <t>В выгрузке CRM нет ни заказа, ни обращений с этим телефоном</t>
        </is>
      </c>
    </row>
    <row r="6">
      <c r="A6" t="inlineStr">
        <is>
          <t>Есть у клиента, нет у нас</t>
        </is>
      </c>
      <c r="B6" t="inlineStr">
        <is>
          <t>6d5d24da</t>
        </is>
      </c>
      <c r="C6" t="inlineStr">
        <is>
          <t>2026-10-14 14:13</t>
        </is>
      </c>
      <c r="D6" t="inlineStr">
        <is>
          <t>Телефон</t>
        </is>
      </c>
      <c r="E6" t="inlineStr"/>
      <c r="F6" s="14" t="inlineStr">
        <is>
          <t>В выгрузке CRM нет ни заказа, ни обращений с этим телефоном</t>
        </is>
      </c>
    </row>
    <row r="7">
      <c r="A7" t="inlineStr">
        <is>
          <t>Источник у клиента другой</t>
        </is>
      </c>
      <c r="B7" t="inlineStr">
        <is>
          <t>e688d054</t>
        </is>
      </c>
      <c r="C7" t="inlineStr">
        <is>
          <t>2026-10-14 13:46</t>
        </is>
      </c>
      <c r="D7" t="inlineStr">
        <is>
          <t>Google Ads</t>
        </is>
      </c>
      <c r="E7" t="inlineStr">
        <is>
          <t>Телефон</t>
        </is>
      </c>
      <c r="F7" s="14" t="inlineStr">
        <is>
          <t>Правило клиента даёт «Телефон», у клиента «Google Ads» (вероятно, менеджер выбрал источник вручную)</t>
        </is>
      </c>
    </row>
    <row r="8">
      <c r="A8" t="inlineStr">
        <is>
          <t>Есть у клиента, нет у нас</t>
        </is>
      </c>
      <c r="B8" t="inlineStr">
        <is>
          <t>e8f4485a</t>
        </is>
      </c>
      <c r="C8" t="inlineStr">
        <is>
          <t>2026-10-11 10:10</t>
        </is>
      </c>
      <c r="D8" t="inlineStr">
        <is>
          <t>Нет метки</t>
        </is>
      </c>
      <c r="E8" t="inlineStr"/>
      <c r="F8" s="14" t="inlineStr">
        <is>
          <t>Заказа с таким номером в выгрузке CRM нет, есть только обращения с этим телефоном</t>
        </is>
      </c>
    </row>
    <row r="9">
      <c r="A9" t="inlineStr">
        <is>
          <t>Есть у клиента, нет у нас</t>
        </is>
      </c>
      <c r="B9" t="inlineStr">
        <is>
          <t>13d731b9</t>
        </is>
      </c>
      <c r="C9" t="inlineStr">
        <is>
          <t>2026-10-07 14:20</t>
        </is>
      </c>
      <c r="D9" t="inlineStr">
        <is>
          <t>Телефон</t>
        </is>
      </c>
      <c r="E9" t="inlineStr"/>
      <c r="F9" s="14" t="inlineStr">
        <is>
          <t>В выгрузке CRM нет ни заказа, ни обращений с этим телефоном</t>
        </is>
      </c>
    </row>
    <row r="10">
      <c r="A10" t="inlineStr">
        <is>
          <t>Источник у клиента другой</t>
        </is>
      </c>
      <c r="B10" t="inlineStr">
        <is>
          <t>b6188b62</t>
        </is>
      </c>
      <c r="C10" t="inlineStr">
        <is>
          <t>2026-10-06 10:28</t>
        </is>
      </c>
      <c r="D10" t="inlineStr">
        <is>
          <t>Нет метки</t>
        </is>
      </c>
      <c r="E10" t="inlineStr">
        <is>
          <t>Телефон</t>
        </is>
      </c>
      <c r="F10" s="14" t="inlineStr">
        <is>
          <t>Правило клиента даёт «Телефон», у клиента «Нет метки» (вероятно, менеджер выбрал источник вручную)</t>
        </is>
      </c>
    </row>
    <row r="11">
      <c r="A11" t="inlineStr">
        <is>
          <t>Источник у клиента другой</t>
        </is>
      </c>
      <c r="B11" t="inlineStr">
        <is>
          <t>3c8a183d</t>
        </is>
      </c>
      <c r="C11" t="inlineStr">
        <is>
          <t>2026-10-05 13:49</t>
        </is>
      </c>
      <c r="D11" t="inlineStr">
        <is>
          <t>Нет метки</t>
        </is>
      </c>
      <c r="E11" t="inlineStr">
        <is>
          <t>Телефон</t>
        </is>
      </c>
      <c r="F11" s="14" t="inlineStr">
        <is>
          <t>Правило клиента даёт «Телефон», у клиента «Нет метки» (вероятно, менеджер выбрал источник вручную)</t>
        </is>
      </c>
    </row>
    <row r="12">
      <c r="A12" t="inlineStr">
        <is>
          <t>Есть у нас, нет у клиента</t>
        </is>
      </c>
      <c r="B12" t="inlineStr">
        <is>
          <t>18846728</t>
        </is>
      </c>
      <c r="C12" t="inlineStr">
        <is>
          <t>2026-10-06 17:56</t>
        </is>
      </c>
      <c r="D12" t="inlineStr"/>
      <c r="E12" t="inlineStr">
        <is>
          <t>Нет метки</t>
        </is>
      </c>
      <c r="F12" s="14" t="inlineStr">
        <is>
          <t>Причина неизвестна</t>
        </is>
      </c>
    </row>
    <row r="13">
      <c r="A13" t="inlineStr">
        <is>
          <t>Есть у нас, нет у клиента</t>
        </is>
      </c>
      <c r="B13" t="inlineStr">
        <is>
          <t>64a90a4e</t>
        </is>
      </c>
      <c r="C13" t="inlineStr">
        <is>
          <t>2026-10-15 12:57</t>
        </is>
      </c>
      <c r="D13" t="inlineStr"/>
      <c r="E13" t="inlineStr">
        <is>
          <t>Телефон</t>
        </is>
      </c>
      <c r="F13" s="14" t="inlineStr">
        <is>
          <t>Повторная покупка: человек уже покупал раньше</t>
        </is>
      </c>
    </row>
    <row r="14">
      <c r="A14" t="inlineStr">
        <is>
          <t>Есть у нас, нет у клиента</t>
        </is>
      </c>
      <c r="B14" t="inlineStr">
        <is>
          <t>798061f6</t>
        </is>
      </c>
      <c r="C14" t="inlineStr">
        <is>
          <t>2026-10-06 09:27</t>
        </is>
      </c>
      <c r="D14" t="inlineStr"/>
      <c r="E14" t="inlineStr">
        <is>
          <t>Телефон</t>
        </is>
      </c>
      <c r="F14" s="14" t="inlineStr">
        <is>
          <t>Повторная покупка: человек уже покупал раньше</t>
        </is>
      </c>
    </row>
    <row r="15">
      <c r="A15" t="inlineStr">
        <is>
          <t>Есть у нас, нет у клиента</t>
        </is>
      </c>
      <c r="B15" t="inlineStr">
        <is>
          <t>7cd5d270</t>
        </is>
      </c>
      <c r="C15" t="inlineStr">
        <is>
          <t>2026-10-05 09:42</t>
        </is>
      </c>
      <c r="D15" t="inlineStr"/>
      <c r="E15" t="inlineStr">
        <is>
          <t>Телефон</t>
        </is>
      </c>
      <c r="F15" s="14" t="inlineStr">
        <is>
          <t>Причина неизвестна</t>
        </is>
      </c>
    </row>
    <row r="16">
      <c r="A16" t="inlineStr">
        <is>
          <t>Есть у нас, нет у клиента</t>
        </is>
      </c>
      <c r="B16" t="inlineStr">
        <is>
          <t>aaedb304</t>
        </is>
      </c>
      <c r="C16" t="inlineStr">
        <is>
          <t>2026-10-19 12:32</t>
        </is>
      </c>
      <c r="D16" t="inlineStr"/>
      <c r="E16" t="inlineStr">
        <is>
          <t>Телефон</t>
        </is>
      </c>
      <c r="F16" s="14" t="inlineStr">
        <is>
          <t>Причина неизвестна</t>
        </is>
      </c>
    </row>
    <row r="17">
      <c r="A17" t="inlineStr">
        <is>
          <t>Есть у нас, нет у клиента</t>
        </is>
      </c>
      <c r="B17" t="inlineStr">
        <is>
          <t>bf6a1932</t>
        </is>
      </c>
      <c r="C17" t="inlineStr">
        <is>
          <t>2026-10-20 09:12</t>
        </is>
      </c>
      <c r="D17" t="inlineStr"/>
      <c r="E17" t="inlineStr">
        <is>
          <t>Телефон</t>
        </is>
      </c>
      <c r="F17" s="14" t="inlineStr">
        <is>
          <t>Причина неизвестна</t>
        </is>
      </c>
    </row>
    <row r="18">
      <c r="A18" t="inlineStr">
        <is>
          <t>Есть у нас, нет у клиента</t>
        </is>
      </c>
      <c r="B18" t="inlineStr">
        <is>
          <t>c04c84af</t>
        </is>
      </c>
      <c r="C18" t="inlineStr">
        <is>
          <t>2026-10-15 08:17</t>
        </is>
      </c>
      <c r="D18" t="inlineStr"/>
      <c r="E18" t="inlineStr">
        <is>
          <t>Телефон</t>
        </is>
      </c>
      <c r="F18" s="14" t="inlineStr">
        <is>
          <t>Причина неизвестна</t>
        </is>
      </c>
    </row>
    <row r="19">
      <c r="A19" t="inlineStr">
        <is>
          <t>Есть у нас, нет у клиента</t>
        </is>
      </c>
      <c r="B19" t="inlineStr">
        <is>
          <t>eb672196</t>
        </is>
      </c>
      <c r="C19" t="inlineStr">
        <is>
          <t>2026-10-05 00:00</t>
        </is>
      </c>
      <c r="D19" t="inlineStr"/>
      <c r="E19" t="inlineStr">
        <is>
          <t>Телефон</t>
        </is>
      </c>
      <c r="F19" s="14" t="inlineStr">
        <is>
          <t>Причина неизвестна</t>
        </is>
      </c>
    </row>
    <row r="20">
      <c r="A20" t="inlineStr">
        <is>
          <t>Есть у нас, нет у клиента</t>
        </is>
      </c>
      <c r="B20" t="inlineStr">
        <is>
          <t>f7b9bc52</t>
        </is>
      </c>
      <c r="C20" t="inlineStr">
        <is>
          <t>2026-10-02 06:20</t>
        </is>
      </c>
      <c r="D20" t="inlineStr"/>
      <c r="E20" t="inlineStr">
        <is>
          <t>Телефон</t>
        </is>
      </c>
      <c r="F20" s="14" t="inlineStr">
        <is>
          <t>Повторная покупка: человек уже покупал раньше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2026-10-22T15:41:33Z</dcterms:created>
  <dcterms:modified xmlns:dcterms="http://purl.org/dc/terms/" xmlns:xsi="http://www.w3.org/2001/XMLSchema-instance" xsi:type="dcterms:W3CDTF">2026-10-22T15:41:33Z</dcterms:modified>
</cp:coreProperties>
</file>