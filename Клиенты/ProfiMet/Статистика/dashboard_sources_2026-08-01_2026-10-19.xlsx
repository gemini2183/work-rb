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шборд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Списки" sheetId="3" state="visible" r:id="rId3"/>
    <sheet xmlns:r="http://schemas.openxmlformats.org/officeDocument/2006/relationships" name="Как считаетс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1" fillId="2" borderId="0" applyAlignment="1" pivotButton="0" quotePrefix="0" xfId="0">
      <alignment horizontal="center" wrapText="1"/>
    </xf>
    <xf numFmtId="166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167" fontId="1" fillId="0" borderId="0" applyAlignment="1" pivotButton="0" quotePrefix="0" xfId="0">
      <alignment horizontal="right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ProfiMet: по источникам</t>
        </is>
      </c>
    </row>
    <row r="2">
      <c r="A2" s="2" t="inlineStr">
        <is>
          <t>Период (выберите из списка)</t>
        </is>
      </c>
      <c r="B2" s="3" t="inlineStr">
        <is>
          <t>Текущий месяц</t>
        </is>
      </c>
    </row>
    <row r="3">
      <c r="A3" s="2" t="inlineStr">
        <is>
          <t>Начало</t>
        </is>
      </c>
      <c r="B3" s="4">
        <f>IF($B$2="Свой период",$E$3,VLOOKUP($B$2,'Списки'!$A$2:$C$25,2,FALSE))</f>
        <v/>
      </c>
      <c r="D3" s="2" t="inlineStr">
        <is>
          <t>Свой период: начало</t>
        </is>
      </c>
      <c r="E3" s="5" t="n">
        <v>46235</v>
      </c>
    </row>
    <row r="4">
      <c r="A4" s="2" t="inlineStr">
        <is>
          <t>Конец</t>
        </is>
      </c>
      <c r="B4" s="4">
        <f>IF($B$2="Свой период",$E$4,MIN(VLOOKUP($B$2,'Списки'!$A$2:$C$25,3,FALSE),MAX('Данные'!$A:$A)))</f>
        <v/>
      </c>
      <c r="D4" s="2" t="inlineStr">
        <is>
          <t>Свой период: конец</t>
        </is>
      </c>
      <c r="E4" s="5" t="n">
        <v>46314</v>
      </c>
    </row>
    <row r="5">
      <c r="A5" s="2" t="inlineStr">
        <is>
          <t>Курс USD→EUR для Facebook (допущение, можно менять)</t>
        </is>
      </c>
      <c r="B5" s="3" t="n">
        <v>0.8244</v>
      </c>
    </row>
    <row r="6">
      <c r="A6" s="2" t="inlineStr">
        <is>
          <t>Данные есть по</t>
        </is>
      </c>
      <c r="B6" s="4">
        <f>MAX('Данные'!$A:$A)</f>
        <v/>
      </c>
    </row>
    <row r="7">
      <c r="A7" s="2" t="inlineStr">
        <is>
          <t>Режим подсчёта конверсий и звонков</t>
        </is>
      </c>
      <c r="B7" s="3" t="inlineStr">
        <is>
          <t>Наш (60 дней, формы из CRM)</t>
        </is>
      </c>
    </row>
    <row r="8" ht="32" customHeight="1">
      <c r="A8" s="6" t="inlineStr">
        <is>
          <t>Источник</t>
        </is>
      </c>
      <c r="B8" s="6" t="inlineStr">
        <is>
          <t>Цена</t>
        </is>
      </c>
      <c r="C8" s="6" t="inlineStr">
        <is>
          <t>Клики</t>
        </is>
      </c>
      <c r="D8" s="6" t="inlineStr">
        <is>
          <t>Показы</t>
        </is>
      </c>
      <c r="E8" s="6" t="inlineStr">
        <is>
          <t>Цена клика</t>
        </is>
      </c>
      <c r="F8" s="6" t="inlineStr">
        <is>
          <t>CTR %</t>
        </is>
      </c>
      <c r="G8" s="6" t="inlineStr">
        <is>
          <t>Конверсии</t>
        </is>
      </c>
      <c r="H8" s="6" t="inlineStr">
        <is>
          <t>% конверсии</t>
        </is>
      </c>
      <c r="I8" s="6" t="inlineStr">
        <is>
          <t>Цена заявки</t>
        </is>
      </c>
      <c r="J8" s="6" t="inlineStr">
        <is>
          <t>Звонки</t>
        </is>
      </c>
      <c r="K8" s="6" t="inlineStr">
        <is>
          <t>Продажи</t>
        </is>
      </c>
      <c r="L8" s="6" t="inlineStr">
        <is>
          <t>% продажи</t>
        </is>
      </c>
      <c r="M8" s="6" t="inlineStr">
        <is>
          <t>Цена продажи</t>
        </is>
      </c>
    </row>
    <row r="9">
      <c r="A9" t="inlineStr">
        <is>
          <t>Google Ads</t>
        </is>
      </c>
      <c r="B9" s="7">
        <f>SUMIFS('Данные'!$C:$C,'Данные'!$A:$A,"&gt;="&amp;$B$3,'Данные'!$A:$A,"&lt;="&amp;$B$4,'Данные'!$B:$B,$A9)</f>
        <v/>
      </c>
      <c r="C9" s="8">
        <f>SUMIFS('Данные'!$D:$D,'Данные'!$A:$A,"&gt;="&amp;$B$3,'Данные'!$A:$A,"&lt;="&amp;$B$4,'Данные'!$B:$B,$A9)</f>
        <v/>
      </c>
      <c r="D9" s="8">
        <f>SUMIFS('Данные'!$E:$E,'Данные'!$A:$A,"&gt;="&amp;$B$3,'Данные'!$A:$A,"&lt;="&amp;$B$4,'Данные'!$B:$B,$A9)</f>
        <v/>
      </c>
      <c r="E9" s="7">
        <f>IFERROR(B9/C9,"")</f>
        <v/>
      </c>
      <c r="F9" s="9">
        <f>IFERROR(C9/D9*100,"")</f>
        <v/>
      </c>
      <c r="G9" s="8">
        <f>IF(LEFT($B$7,3)="Как",SUMIFS('Данные'!$I:$I,'Данные'!$A:$A,"&gt;="&amp;$B$3,'Данные'!$A:$A,"&lt;="&amp;$B$4,'Данные'!$B:$B,$A9),SUMIFS('Данные'!$F:$F,'Данные'!$A:$A,"&gt;="&amp;$B$3,'Данные'!$A:$A,"&lt;="&amp;$B$4,'Данные'!$B:$B,$A9))</f>
        <v/>
      </c>
      <c r="H9" s="9">
        <f>IFERROR(G9/C9*100,"")</f>
        <v/>
      </c>
      <c r="I9" s="7">
        <f>IFERROR(B9/G9,"")</f>
        <v/>
      </c>
      <c r="J9" s="8">
        <f>IF(LEFT($B$7,3)="Как",SUMIFS('Данные'!$J:$J,'Данные'!$A:$A,"&gt;="&amp;$B$3,'Данные'!$A:$A,"&lt;="&amp;$B$4,'Данные'!$B:$B,$A9),SUMIFS('Данные'!$G:$G,'Данные'!$A:$A,"&gt;="&amp;$B$3,'Данные'!$A:$A,"&lt;="&amp;$B$4,'Данные'!$B:$B,$A9))</f>
        <v/>
      </c>
      <c r="K9" s="8">
        <f>SUMIFS('Данные'!$H:$H,'Данные'!$A:$A,"&gt;="&amp;$B$3,'Данные'!$A:$A,"&lt;="&amp;$B$4,'Данные'!$B:$B,$A9)</f>
        <v/>
      </c>
      <c r="L9" s="9">
        <f>IFERROR(K9/G9*100,"")</f>
        <v/>
      </c>
      <c r="M9" s="7">
        <f>IFERROR(B9/K9,"")</f>
        <v/>
      </c>
    </row>
    <row r="10">
      <c r="A10" t="inlineStr">
        <is>
          <t>Facebook</t>
        </is>
      </c>
      <c r="B10" s="7">
        <f>SUMIFS('Данные'!$C:$C,'Данные'!$A:$A,"&gt;="&amp;$B$3,'Данные'!$A:$A,"&lt;="&amp;$B$4,'Данные'!$B:$B,$A10)*$B$5</f>
        <v/>
      </c>
      <c r="C10" s="8">
        <f>SUMIFS('Данные'!$D:$D,'Данные'!$A:$A,"&gt;="&amp;$B$3,'Данные'!$A:$A,"&lt;="&amp;$B$4,'Данные'!$B:$B,$A10)</f>
        <v/>
      </c>
      <c r="D10" s="8">
        <f>SUMIFS('Данные'!$E:$E,'Данные'!$A:$A,"&gt;="&amp;$B$3,'Данные'!$A:$A,"&lt;="&amp;$B$4,'Данные'!$B:$B,$A10)</f>
        <v/>
      </c>
      <c r="E10" s="7">
        <f>IFERROR(B10/C10,"")</f>
        <v/>
      </c>
      <c r="F10" s="9">
        <f>IFERROR(C10/D10*100,"")</f>
        <v/>
      </c>
      <c r="G10" s="8">
        <f>IF(LEFT($B$7,3)="Как",SUMIFS('Данные'!$I:$I,'Данные'!$A:$A,"&gt;="&amp;$B$3,'Данные'!$A:$A,"&lt;="&amp;$B$4,'Данные'!$B:$B,$A10),SUMIFS('Данные'!$F:$F,'Данные'!$A:$A,"&gt;="&amp;$B$3,'Данные'!$A:$A,"&lt;="&amp;$B$4,'Данные'!$B:$B,$A10))</f>
        <v/>
      </c>
      <c r="H10" s="9">
        <f>IFERROR(G10/C10*100,"")</f>
        <v/>
      </c>
      <c r="I10" s="7">
        <f>IFERROR(B10/G10,"")</f>
        <v/>
      </c>
      <c r="J10" s="8">
        <f>IF(LEFT($B$7,3)="Как",SUMIFS('Данные'!$J:$J,'Данные'!$A:$A,"&gt;="&amp;$B$3,'Данные'!$A:$A,"&lt;="&amp;$B$4,'Данные'!$B:$B,$A10),SUMIFS('Данные'!$G:$G,'Данные'!$A:$A,"&gt;="&amp;$B$3,'Данные'!$A:$A,"&lt;="&amp;$B$4,'Данные'!$B:$B,$A10))</f>
        <v/>
      </c>
      <c r="K10" s="8">
        <f>SUMIFS('Данные'!$H:$H,'Данные'!$A:$A,"&gt;="&amp;$B$3,'Данные'!$A:$A,"&lt;="&amp;$B$4,'Данные'!$B:$B,$A10)</f>
        <v/>
      </c>
      <c r="L10" s="9">
        <f>IFERROR(K10/G10*100,"")</f>
        <v/>
      </c>
      <c r="M10" s="7">
        <f>IFERROR(B10/K10,"")</f>
        <v/>
      </c>
    </row>
    <row r="11">
      <c r="A11" t="inlineStr">
        <is>
          <t>Нет метки</t>
        </is>
      </c>
      <c r="B11" s="7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7" t="inlineStr">
        <is>
          <t>—</t>
        </is>
      </c>
      <c r="F11" s="9" t="inlineStr">
        <is>
          <t>—</t>
        </is>
      </c>
      <c r="G11" s="8">
        <f>IF(LEFT($B$7,3)="Как",SUMIFS('Данные'!$I:$I,'Данные'!$A:$A,"&gt;="&amp;$B$3,'Данные'!$A:$A,"&lt;="&amp;$B$4,'Данные'!$B:$B,$A11),SUMIFS('Данные'!$F:$F,'Данные'!$A:$A,"&gt;="&amp;$B$3,'Данные'!$A:$A,"&lt;="&amp;$B$4,'Данные'!$B:$B,$A11))</f>
        <v/>
      </c>
      <c r="H11" s="9" t="inlineStr">
        <is>
          <t>—</t>
        </is>
      </c>
      <c r="I11" s="7" t="inlineStr">
        <is>
          <t>—</t>
        </is>
      </c>
      <c r="J11" s="8" t="inlineStr">
        <is>
          <t>—</t>
        </is>
      </c>
      <c r="K11" s="8">
        <f>SUMIFS('Данные'!$H:$H,'Данные'!$A:$A,"&gt;="&amp;$B$3,'Данные'!$A:$A,"&lt;="&amp;$B$4,'Данные'!$B:$B,$A11)</f>
        <v/>
      </c>
      <c r="L11" s="9">
        <f>IFERROR(K11/G11*100,"")</f>
        <v/>
      </c>
      <c r="M11" s="7" t="inlineStr">
        <is>
          <t>—</t>
        </is>
      </c>
    </row>
    <row r="12">
      <c r="A12" t="inlineStr">
        <is>
          <t>Телефон</t>
        </is>
      </c>
      <c r="B12" s="7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7" t="inlineStr">
        <is>
          <t>—</t>
        </is>
      </c>
      <c r="F12" s="9" t="inlineStr">
        <is>
          <t>—</t>
        </is>
      </c>
      <c r="G12" s="8" t="inlineStr">
        <is>
          <t>—</t>
        </is>
      </c>
      <c r="H12" s="9" t="inlineStr">
        <is>
          <t>—</t>
        </is>
      </c>
      <c r="I12" s="7" t="inlineStr">
        <is>
          <t>—</t>
        </is>
      </c>
      <c r="J12" s="8" t="inlineStr">
        <is>
          <t>—</t>
        </is>
      </c>
      <c r="K12" s="8">
        <f>SUMIFS('Данные'!$H:$H,'Данные'!$A:$A,"&gt;="&amp;$B$3,'Данные'!$A:$A,"&lt;="&amp;$B$4,'Данные'!$B:$B,$A12)</f>
        <v/>
      </c>
      <c r="L12" s="9" t="inlineStr">
        <is>
          <t>—</t>
        </is>
      </c>
      <c r="M12" s="7" t="inlineStr">
        <is>
          <t>—</t>
        </is>
      </c>
    </row>
    <row r="13">
      <c r="A13" t="inlineStr">
        <is>
          <t>Прочее</t>
        </is>
      </c>
      <c r="B13" s="7" t="inlineStr">
        <is>
          <t>—</t>
        </is>
      </c>
      <c r="C13" s="8" t="inlineStr">
        <is>
          <t>—</t>
        </is>
      </c>
      <c r="D13" s="8" t="inlineStr">
        <is>
          <t>—</t>
        </is>
      </c>
      <c r="E13" s="7" t="inlineStr">
        <is>
          <t>—</t>
        </is>
      </c>
      <c r="F13" s="9" t="inlineStr">
        <is>
          <t>—</t>
        </is>
      </c>
      <c r="G13" s="8" t="inlineStr">
        <is>
          <t>—</t>
        </is>
      </c>
      <c r="H13" s="9" t="inlineStr">
        <is>
          <t>—</t>
        </is>
      </c>
      <c r="I13" s="7" t="inlineStr">
        <is>
          <t>—</t>
        </is>
      </c>
      <c r="J13" s="8" t="inlineStr">
        <is>
          <t>—</t>
        </is>
      </c>
      <c r="K13" s="8">
        <f>SUMIFS('Данные'!$H:$H,'Данные'!$A:$A,"&gt;="&amp;$B$3,'Данные'!$A:$A,"&lt;="&amp;$B$4,'Данные'!$B:$B,$A13)</f>
        <v/>
      </c>
      <c r="L13" s="9" t="inlineStr">
        <is>
          <t>—</t>
        </is>
      </c>
      <c r="M13" s="7" t="inlineStr">
        <is>
          <t>—</t>
        </is>
      </c>
    </row>
    <row r="14">
      <c r="A14" s="2" t="inlineStr">
        <is>
          <t>Итого</t>
        </is>
      </c>
      <c r="B14" s="10">
        <f>SUM(B9:B10)</f>
        <v/>
      </c>
      <c r="C14" s="11">
        <f>SUM(C9:C10)</f>
        <v/>
      </c>
      <c r="D14" s="11">
        <f>SUM(D9:D10)</f>
        <v/>
      </c>
      <c r="E14" s="10">
        <f>IFERROR(B14/C14,"")</f>
        <v/>
      </c>
      <c r="F14" s="12">
        <f>IFERROR(C14/D14*100,"")</f>
        <v/>
      </c>
      <c r="G14" s="11">
        <f>SUM(G9:G11)</f>
        <v/>
      </c>
      <c r="H14" s="12">
        <f>IFERROR(G14/C14*100,"")</f>
        <v/>
      </c>
      <c r="I14" s="10">
        <f>IFERROR(B14/G14,"")</f>
        <v/>
      </c>
      <c r="J14" s="11">
        <f>SUM(J9:J10)</f>
        <v/>
      </c>
      <c r="K14" s="11">
        <f>SUM(K9:K13)</f>
        <v/>
      </c>
      <c r="L14" s="12">
        <f>IFERROR(K14/G14*100,"")</f>
        <v/>
      </c>
      <c r="M14" s="10">
        <f>IFERROR(B14/K14,"")</f>
        <v/>
      </c>
    </row>
    <row r="16">
      <c r="A16">
        <f>IF(LEFT($B$7,3)="Как","Режим «как у клиента»: звонки — первый звонок номера за всю историю Ringostat; формы — сеансы GA4 form_submit по источнику сеанса; Телефон и Прочее без конверсий. Продажи — по нашему правилу (выгрузка CRM) в обоих режимах.","Телефон: новых обращений "&amp;SUMIFS('Данные'!$F:$F,'Данные'!$A:$A,"&gt;="&amp;$B$3,'Данные'!$A:$A,"&lt;="&amp;$B$4,'Данные'!$B:$B,$A12)&amp;" (из них звонков "&amp;SUMIFS('Данные'!$G:$G,'Данные'!$A:$A,"&gt;="&amp;$B$3,'Данные'!$A:$A,"&lt;="&amp;$B$4,'Данные'!$B:$B,$A12)&amp;") — в «Конверсии» и «Звонки» не включены")</f>
        <v/>
      </c>
    </row>
    <row r="17">
      <c r="A17">
        <f>IF(LEFT($B$7,3)="Как","","Нет метки: из "&amp;G11&amp;" конверсий звонков "&amp;SUMIFS('Данные'!$G:$G,'Данные'!$A:$A,"&gt;="&amp;$B$3,'Данные'!$A:$A,"&lt;="&amp;$B$4,'Данные'!$B:$B,$A11)&amp;" — в колонке «Звонки» не показаны")</f>
        <v/>
      </c>
    </row>
    <row r="18">
      <c r="A18">
        <f>IF(LEFT($B$7,3)="Как","","Прочее: новых обращений "&amp;SUMIFS('Данные'!$F:$F,'Данные'!$A:$A,"&gt;="&amp;$B$3,'Данные'!$A:$A,"&lt;="&amp;$B$4,'Данные'!$B:$B,$A13)&amp;" — в «Конверсии» и «Звонки» не включены")</f>
        <v/>
      </c>
    </row>
  </sheetData>
  <dataValidations count="2">
    <dataValidation sqref="B2" showDropDown="0" showInputMessage="0" showErrorMessage="0" allowBlank="0" type="list">
      <formula1>='Списки'!$A$2:$A$25</formula1>
    </dataValidation>
    <dataValidation sqref="B7" showDropDown="0" showInputMessage="0" showErrorMessage="0" allowBlank="0" type="list">
      <formula1>"Наш (60 дней, формы из CRM),Как у клиента (звонки за всю историю, формы GA4)"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0" customWidth="1" min="4" max="4"/>
    <col width="12" customWidth="1" min="5" max="5"/>
    <col width="20" customWidth="1" min="6" max="6"/>
    <col width="14" customWidth="1" min="7" max="7"/>
    <col width="10" customWidth="1" min="8" max="8"/>
    <col width="24" customWidth="1" min="9" max="9"/>
    <col width="24" customWidth="1" min="10" max="10"/>
  </cols>
  <sheetData>
    <row r="1">
      <c r="A1" s="13" t="inlineStr">
        <is>
          <t>Дата</t>
        </is>
      </c>
      <c r="B1" s="13" t="inlineStr">
        <is>
          <t>Источник</t>
        </is>
      </c>
      <c r="C1" s="13" t="inlineStr">
        <is>
          <t>Цена (Google — €, Facebook — $ как в BigQuery)</t>
        </is>
      </c>
      <c r="D1" s="13" t="inlineStr">
        <is>
          <t>Клики</t>
        </is>
      </c>
      <c r="E1" s="13" t="inlineStr">
        <is>
          <t>Показы</t>
        </is>
      </c>
      <c r="F1" s="13" t="inlineStr">
        <is>
          <t>Конверсии (наш режим: новые обращения CRM)</t>
        </is>
      </c>
      <c r="G1" s="13" t="inlineStr">
        <is>
          <t>из них звонки</t>
        </is>
      </c>
      <c r="H1" s="13" t="inlineStr">
        <is>
          <t>Продажи</t>
        </is>
      </c>
      <c r="I1" s="13" t="inlineStr">
        <is>
          <t>Конверсии (как у клиента: звонки + формы GA4)</t>
        </is>
      </c>
      <c r="J1" s="13" t="inlineStr">
        <is>
          <t>из них звонки (первый звонок за всю историю)</t>
        </is>
      </c>
    </row>
    <row r="2">
      <c r="A2" s="4" t="n">
        <v>46235</v>
      </c>
      <c r="B2" t="inlineStr">
        <is>
          <t>Google Ads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4" t="n">
        <v>46235</v>
      </c>
      <c r="B3" t="inlineStr">
        <is>
          <t>Facebook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4" t="n">
        <v>46235</v>
      </c>
      <c r="B4" t="inlineStr">
        <is>
          <t>Нет метки</t>
        </is>
      </c>
      <c r="C4" t="n">
        <v/>
      </c>
      <c r="D4" t="n">
        <v/>
      </c>
      <c r="E4" t="n">
        <v/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4" t="n">
        <v>46235</v>
      </c>
      <c r="B5" t="inlineStr">
        <is>
          <t>Телефон</t>
        </is>
      </c>
      <c r="C5" t="n">
        <v/>
      </c>
      <c r="D5" t="n">
        <v/>
      </c>
      <c r="E5" t="n">
        <v/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s="4" t="n">
        <v>46235</v>
      </c>
      <c r="B6" t="inlineStr">
        <is>
          <t>Прочее</t>
        </is>
      </c>
      <c r="C6" t="n">
        <v/>
      </c>
      <c r="D6" t="n">
        <v/>
      </c>
      <c r="E6" t="n">
        <v/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4" t="n">
        <v>46236</v>
      </c>
      <c r="B7" t="inlineStr">
        <is>
          <t>Google Ads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4" t="n">
        <v>46236</v>
      </c>
      <c r="B8" t="inlineStr">
        <is>
          <t>Facebook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4" t="n">
        <v>46236</v>
      </c>
      <c r="B9" t="inlineStr">
        <is>
          <t>Нет метки</t>
        </is>
      </c>
      <c r="C9" t="n">
        <v/>
      </c>
      <c r="D9" t="n">
        <v/>
      </c>
      <c r="E9" t="n">
        <v/>
      </c>
      <c r="F9" t="n">
        <v>1</v>
      </c>
      <c r="G9" t="n">
        <v>1</v>
      </c>
      <c r="H9" t="n">
        <v>0</v>
      </c>
      <c r="I9" t="n">
        <v>0</v>
      </c>
      <c r="J9" t="n">
        <v>0</v>
      </c>
    </row>
    <row r="10">
      <c r="A10" s="4" t="n">
        <v>46236</v>
      </c>
      <c r="B10" t="inlineStr">
        <is>
          <t>Телефон</t>
        </is>
      </c>
      <c r="C10" t="n">
        <v/>
      </c>
      <c r="D10" t="n">
        <v/>
      </c>
      <c r="E10" t="n">
        <v/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4" t="n">
        <v>46236</v>
      </c>
      <c r="B11" t="inlineStr">
        <is>
          <t>Прочее</t>
        </is>
      </c>
      <c r="C11" t="n">
        <v/>
      </c>
      <c r="D11" t="n">
        <v/>
      </c>
      <c r="E11" t="n">
        <v/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4" t="n">
        <v>46237</v>
      </c>
      <c r="B12" t="inlineStr">
        <is>
          <t>Google Ads</t>
        </is>
      </c>
      <c r="C12" t="n">
        <v>38.000965</v>
      </c>
      <c r="D12" t="n">
        <v>73</v>
      </c>
      <c r="E12" t="n">
        <v>604</v>
      </c>
      <c r="F12" t="n">
        <v>1</v>
      </c>
      <c r="G12" t="n">
        <v>1</v>
      </c>
      <c r="H12" t="n">
        <v>0</v>
      </c>
      <c r="I12" t="n">
        <v>2</v>
      </c>
      <c r="J12" t="n">
        <v>1</v>
      </c>
    </row>
    <row r="13">
      <c r="A13" s="4" t="n">
        <v>46237</v>
      </c>
      <c r="B13" t="inlineStr">
        <is>
          <t>Facebook</t>
        </is>
      </c>
      <c r="C13" t="n">
        <v>15.53462603878116</v>
      </c>
      <c r="D13" t="n">
        <v>177</v>
      </c>
      <c r="E13" t="n">
        <v>3545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</row>
    <row r="14">
      <c r="A14" s="4" t="n">
        <v>46237</v>
      </c>
      <c r="B14" t="inlineStr">
        <is>
          <t>Нет метки</t>
        </is>
      </c>
      <c r="C14" t="n">
        <v/>
      </c>
      <c r="D14" t="n">
        <v/>
      </c>
      <c r="E14" t="n">
        <v/>
      </c>
      <c r="F14" t="n">
        <v>3</v>
      </c>
      <c r="G14" t="n">
        <v>3</v>
      </c>
      <c r="H14" t="n">
        <v>0</v>
      </c>
      <c r="I14" t="n">
        <v>0</v>
      </c>
      <c r="J14" t="n">
        <v>0</v>
      </c>
    </row>
    <row r="15">
      <c r="A15" s="4" t="n">
        <v>46237</v>
      </c>
      <c r="B15" t="inlineStr">
        <is>
          <t>Телефон</t>
        </is>
      </c>
      <c r="C15" t="n">
        <v/>
      </c>
      <c r="D15" t="n">
        <v/>
      </c>
      <c r="E15" t="n">
        <v/>
      </c>
      <c r="F15" t="n">
        <v>8</v>
      </c>
      <c r="G15" t="n">
        <v>8</v>
      </c>
      <c r="H15" t="n">
        <v>0</v>
      </c>
      <c r="I15" t="n">
        <v>0</v>
      </c>
      <c r="J15" t="n">
        <v>0</v>
      </c>
    </row>
    <row r="16">
      <c r="A16" s="4" t="n">
        <v>46237</v>
      </c>
      <c r="B16" t="inlineStr">
        <is>
          <t>Прочее</t>
        </is>
      </c>
      <c r="C16" t="n">
        <v/>
      </c>
      <c r="D16" t="n">
        <v/>
      </c>
      <c r="E16" t="n">
        <v/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4" t="n">
        <v>46238</v>
      </c>
      <c r="B17" t="inlineStr">
        <is>
          <t>Google Ads</t>
        </is>
      </c>
      <c r="C17" t="n">
        <v>50.978204</v>
      </c>
      <c r="D17" t="n">
        <v>97</v>
      </c>
      <c r="E17" t="n">
        <v>913</v>
      </c>
      <c r="F17" t="n">
        <v>3</v>
      </c>
      <c r="G17" t="n">
        <v>3</v>
      </c>
      <c r="H17" t="n">
        <v>1</v>
      </c>
      <c r="I17" t="n">
        <v>2</v>
      </c>
      <c r="J17" t="n">
        <v>2</v>
      </c>
    </row>
    <row r="18">
      <c r="A18" s="4" t="n">
        <v>46238</v>
      </c>
      <c r="B18" t="inlineStr">
        <is>
          <t>Facebook</t>
        </is>
      </c>
      <c r="C18" t="n">
        <v>20.82271468144044</v>
      </c>
      <c r="D18" t="n">
        <v>245</v>
      </c>
      <c r="E18" t="n">
        <v>4862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s="4" t="n">
        <v>46238</v>
      </c>
      <c r="B19" t="inlineStr">
        <is>
          <t>Нет метки</t>
        </is>
      </c>
      <c r="C19" t="n">
        <v/>
      </c>
      <c r="D19" t="n">
        <v/>
      </c>
      <c r="E19" t="n">
        <v/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s="4" t="n">
        <v>46238</v>
      </c>
      <c r="B20" t="inlineStr">
        <is>
          <t>Телефон</t>
        </is>
      </c>
      <c r="C20" t="n">
        <v/>
      </c>
      <c r="D20" t="n">
        <v/>
      </c>
      <c r="E20" t="n">
        <v/>
      </c>
      <c r="F20" t="n">
        <v>4</v>
      </c>
      <c r="G20" t="n">
        <v>4</v>
      </c>
      <c r="H20" t="n">
        <v>0</v>
      </c>
      <c r="I20" t="n">
        <v>0</v>
      </c>
      <c r="J20" t="n">
        <v>0</v>
      </c>
    </row>
    <row r="21">
      <c r="A21" s="4" t="n">
        <v>46238</v>
      </c>
      <c r="B21" t="inlineStr">
        <is>
          <t>Прочее</t>
        </is>
      </c>
      <c r="C21" t="n">
        <v/>
      </c>
      <c r="D21" t="n">
        <v/>
      </c>
      <c r="E21" t="n">
        <v/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4" t="n">
        <v>46239</v>
      </c>
      <c r="B22" t="inlineStr">
        <is>
          <t>Google Ads</t>
        </is>
      </c>
      <c r="C22" t="n">
        <v>37.936247</v>
      </c>
      <c r="D22" t="n">
        <v>177</v>
      </c>
      <c r="E22" t="n">
        <v>8964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</row>
    <row r="23">
      <c r="A23" s="4" t="n">
        <v>46239</v>
      </c>
      <c r="B23" t="inlineStr">
        <is>
          <t>Facebook</t>
        </is>
      </c>
      <c r="C23" t="n">
        <v>28.8393351800554</v>
      </c>
      <c r="D23" t="n">
        <v>405</v>
      </c>
      <c r="E23" t="n">
        <v>10449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</row>
    <row r="24">
      <c r="A24" s="4" t="n">
        <v>46239</v>
      </c>
      <c r="B24" t="inlineStr">
        <is>
          <t>Нет метки</t>
        </is>
      </c>
      <c r="C24" t="n">
        <v/>
      </c>
      <c r="D24" t="n">
        <v/>
      </c>
      <c r="E24" t="n">
        <v/>
      </c>
      <c r="F24" t="n">
        <v>1</v>
      </c>
      <c r="G24" t="n">
        <v>1</v>
      </c>
      <c r="H24" t="n">
        <v>0</v>
      </c>
      <c r="I24" t="n">
        <v>0</v>
      </c>
      <c r="J24" t="n">
        <v>0</v>
      </c>
    </row>
    <row r="25">
      <c r="A25" s="4" t="n">
        <v>46239</v>
      </c>
      <c r="B25" t="inlineStr">
        <is>
          <t>Телефон</t>
        </is>
      </c>
      <c r="C25" t="n">
        <v/>
      </c>
      <c r="D25" t="n">
        <v/>
      </c>
      <c r="E25" t="n">
        <v/>
      </c>
      <c r="F25" t="n">
        <v>5</v>
      </c>
      <c r="G25" t="n">
        <v>5</v>
      </c>
      <c r="H25" t="n">
        <v>0</v>
      </c>
      <c r="I25" t="n">
        <v>0</v>
      </c>
      <c r="J25" t="n">
        <v>0</v>
      </c>
    </row>
    <row r="26">
      <c r="A26" s="4" t="n">
        <v>46239</v>
      </c>
      <c r="B26" t="inlineStr">
        <is>
          <t>Прочее</t>
        </is>
      </c>
      <c r="C26" t="n">
        <v/>
      </c>
      <c r="D26" t="n">
        <v/>
      </c>
      <c r="E26" t="n">
        <v/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4" t="n">
        <v>46240</v>
      </c>
      <c r="B27" t="inlineStr">
        <is>
          <t>Google Ads</t>
        </is>
      </c>
      <c r="C27" t="n">
        <v>50.772604</v>
      </c>
      <c r="D27" t="n">
        <v>490</v>
      </c>
      <c r="E27" t="n">
        <v>13327</v>
      </c>
      <c r="F27" t="n">
        <v>1</v>
      </c>
      <c r="G27" t="n">
        <v>1</v>
      </c>
      <c r="H27" t="n">
        <v>0</v>
      </c>
      <c r="I27" t="n">
        <v>2</v>
      </c>
      <c r="J27" t="n">
        <v>2</v>
      </c>
    </row>
    <row r="28">
      <c r="A28" s="4" t="n">
        <v>46240</v>
      </c>
      <c r="B28" t="inlineStr">
        <is>
          <t>Facebook</t>
        </is>
      </c>
      <c r="C28" t="n">
        <v>29.03047091412742</v>
      </c>
      <c r="D28" t="n">
        <v>483</v>
      </c>
      <c r="E28" t="n">
        <v>11529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</row>
    <row r="29">
      <c r="A29" s="4" t="n">
        <v>46240</v>
      </c>
      <c r="B29" t="inlineStr">
        <is>
          <t>Нет метки</t>
        </is>
      </c>
      <c r="C29" t="n">
        <v/>
      </c>
      <c r="D29" t="n">
        <v/>
      </c>
      <c r="E29" t="n">
        <v/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4" t="n">
        <v>46240</v>
      </c>
      <c r="B30" t="inlineStr">
        <is>
          <t>Телефон</t>
        </is>
      </c>
      <c r="C30" t="n">
        <v/>
      </c>
      <c r="D30" t="n">
        <v/>
      </c>
      <c r="E30" t="n">
        <v/>
      </c>
      <c r="F30" t="n">
        <v>5</v>
      </c>
      <c r="G30" t="n">
        <v>5</v>
      </c>
      <c r="H30" t="n">
        <v>0</v>
      </c>
      <c r="I30" t="n">
        <v>0</v>
      </c>
      <c r="J30" t="n">
        <v>0</v>
      </c>
    </row>
    <row r="31">
      <c r="A31" s="4" t="n">
        <v>46240</v>
      </c>
      <c r="B31" t="inlineStr">
        <is>
          <t>Прочее</t>
        </is>
      </c>
      <c r="C31" t="n">
        <v/>
      </c>
      <c r="D31" t="n">
        <v/>
      </c>
      <c r="E31" t="n">
        <v/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4" t="n">
        <v>46241</v>
      </c>
      <c r="B32" t="inlineStr">
        <is>
          <t>Google Ads</t>
        </is>
      </c>
      <c r="C32" t="n">
        <v>30.01218</v>
      </c>
      <c r="D32" t="n">
        <v>205</v>
      </c>
      <c r="E32" t="n">
        <v>3820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</row>
    <row r="33">
      <c r="A33" s="4" t="n">
        <v>46241</v>
      </c>
      <c r="B33" t="inlineStr">
        <is>
          <t>Facebook</t>
        </is>
      </c>
      <c r="C33" t="n">
        <v>27.06371191135734</v>
      </c>
      <c r="D33" t="n">
        <v>521</v>
      </c>
      <c r="E33" t="n">
        <v>11522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</row>
    <row r="34">
      <c r="A34" s="4" t="n">
        <v>46241</v>
      </c>
      <c r="B34" t="inlineStr">
        <is>
          <t>Нет метки</t>
        </is>
      </c>
      <c r="C34" t="n">
        <v/>
      </c>
      <c r="D34" t="n">
        <v/>
      </c>
      <c r="E34" t="n">
        <v/>
      </c>
      <c r="F34" t="n">
        <v>2</v>
      </c>
      <c r="G34" t="n">
        <v>2</v>
      </c>
      <c r="H34" t="n">
        <v>1</v>
      </c>
      <c r="I34" t="n">
        <v>1</v>
      </c>
      <c r="J34" t="n">
        <v>0</v>
      </c>
    </row>
    <row r="35">
      <c r="A35" s="4" t="n">
        <v>46241</v>
      </c>
      <c r="B35" t="inlineStr">
        <is>
          <t>Телефон</t>
        </is>
      </c>
      <c r="C35" t="n">
        <v/>
      </c>
      <c r="D35" t="n">
        <v/>
      </c>
      <c r="E35" t="n">
        <v/>
      </c>
      <c r="F35" t="n">
        <v>2</v>
      </c>
      <c r="G35" t="n">
        <v>2</v>
      </c>
      <c r="H35" t="n">
        <v>0</v>
      </c>
      <c r="I35" t="n">
        <v>0</v>
      </c>
      <c r="J35" t="n">
        <v>0</v>
      </c>
    </row>
    <row r="36">
      <c r="A36" s="4" t="n">
        <v>46241</v>
      </c>
      <c r="B36" t="inlineStr">
        <is>
          <t>Прочее</t>
        </is>
      </c>
      <c r="C36" t="n">
        <v/>
      </c>
      <c r="D36" t="n">
        <v/>
      </c>
      <c r="E36" t="n">
        <v/>
      </c>
      <c r="F36" t="n">
        <v>6</v>
      </c>
      <c r="G36" t="n">
        <v>0</v>
      </c>
      <c r="H36" t="n">
        <v>0</v>
      </c>
      <c r="I36" t="n">
        <v>0</v>
      </c>
      <c r="J36" t="n">
        <v>0</v>
      </c>
    </row>
    <row r="37">
      <c r="A37" s="4" t="n">
        <v>46242</v>
      </c>
      <c r="B37" t="inlineStr">
        <is>
          <t>Google Ads</t>
        </is>
      </c>
      <c r="C37" t="n">
        <v>9.887985</v>
      </c>
      <c r="D37" t="n">
        <v>29</v>
      </c>
      <c r="E37" t="n">
        <v>389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s="4" t="n">
        <v>46242</v>
      </c>
      <c r="B38" t="inlineStr">
        <is>
          <t>Facebook</t>
        </is>
      </c>
      <c r="C38" t="n">
        <v>27.55401662049861</v>
      </c>
      <c r="D38" t="n">
        <v>523</v>
      </c>
      <c r="E38" t="n">
        <v>9844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</row>
    <row r="39">
      <c r="A39" s="4" t="n">
        <v>46242</v>
      </c>
      <c r="B39" t="inlineStr">
        <is>
          <t>Нет метки</t>
        </is>
      </c>
      <c r="C39" t="n">
        <v/>
      </c>
      <c r="D39" t="n">
        <v/>
      </c>
      <c r="E39" t="n">
        <v/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s="4" t="n">
        <v>46242</v>
      </c>
      <c r="B40" t="inlineStr">
        <is>
          <t>Телефон</t>
        </is>
      </c>
      <c r="C40" t="n">
        <v/>
      </c>
      <c r="D40" t="n">
        <v/>
      </c>
      <c r="E40" t="n">
        <v/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4" t="n">
        <v>46242</v>
      </c>
      <c r="B41" t="inlineStr">
        <is>
          <t>Прочее</t>
        </is>
      </c>
      <c r="C41" t="n">
        <v/>
      </c>
      <c r="D41" t="n">
        <v/>
      </c>
      <c r="E41" t="n">
        <v/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4" t="n">
        <v>46243</v>
      </c>
      <c r="B42" t="inlineStr">
        <is>
          <t>Google Ads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s="4" t="n">
        <v>46243</v>
      </c>
      <c r="B43" t="inlineStr">
        <is>
          <t>Facebook</t>
        </is>
      </c>
      <c r="C43" t="n">
        <v>41.58171745152355</v>
      </c>
      <c r="D43" t="n">
        <v>825</v>
      </c>
      <c r="E43" t="n">
        <v>15959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</row>
    <row r="44">
      <c r="A44" s="4" t="n">
        <v>46243</v>
      </c>
      <c r="B44" t="inlineStr">
        <is>
          <t>Нет метки</t>
        </is>
      </c>
      <c r="C44" t="n">
        <v/>
      </c>
      <c r="D44" t="n">
        <v/>
      </c>
      <c r="E44" t="n">
        <v/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s="4" t="n">
        <v>46243</v>
      </c>
      <c r="B45" t="inlineStr">
        <is>
          <t>Телефон</t>
        </is>
      </c>
      <c r="C45" t="n">
        <v/>
      </c>
      <c r="D45" t="n">
        <v/>
      </c>
      <c r="E45" t="n">
        <v/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4" t="n">
        <v>46243</v>
      </c>
      <c r="B46" t="inlineStr">
        <is>
          <t>Прочее</t>
        </is>
      </c>
      <c r="C46" t="n">
        <v/>
      </c>
      <c r="D46" t="n">
        <v/>
      </c>
      <c r="E46" t="n">
        <v/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4" t="n">
        <v>46244</v>
      </c>
      <c r="B47" t="inlineStr">
        <is>
          <t>Google Ads</t>
        </is>
      </c>
      <c r="C47" t="n">
        <v>36.269198</v>
      </c>
      <c r="D47" t="n">
        <v>174</v>
      </c>
      <c r="E47" t="n">
        <v>1879</v>
      </c>
      <c r="F47" t="n">
        <v>4</v>
      </c>
      <c r="G47" t="n">
        <v>4</v>
      </c>
      <c r="H47" t="n">
        <v>2</v>
      </c>
      <c r="I47" t="n">
        <v>4</v>
      </c>
      <c r="J47" t="n">
        <v>4</v>
      </c>
    </row>
    <row r="48">
      <c r="A48" s="4" t="n">
        <v>46244</v>
      </c>
      <c r="B48" t="inlineStr">
        <is>
          <t>Facebook</t>
        </is>
      </c>
      <c r="C48" t="n">
        <v>30.10526315789474</v>
      </c>
      <c r="D48" t="n">
        <v>570</v>
      </c>
      <c r="E48" t="n">
        <v>11210</v>
      </c>
      <c r="F48" t="n">
        <v>1</v>
      </c>
      <c r="G48" t="n">
        <v>1</v>
      </c>
      <c r="H48" t="n">
        <v>2</v>
      </c>
      <c r="I48" t="n">
        <v>1</v>
      </c>
      <c r="J48" t="n">
        <v>1</v>
      </c>
    </row>
    <row r="49">
      <c r="A49" s="4" t="n">
        <v>46244</v>
      </c>
      <c r="B49" t="inlineStr">
        <is>
          <t>Нет метки</t>
        </is>
      </c>
      <c r="C49" t="n">
        <v/>
      </c>
      <c r="D49" t="n">
        <v/>
      </c>
      <c r="E49" t="n">
        <v/>
      </c>
      <c r="F49" t="n">
        <v>1</v>
      </c>
      <c r="G49" t="n">
        <v>1</v>
      </c>
      <c r="H49" t="n">
        <v>1</v>
      </c>
      <c r="I49" t="n">
        <v>0</v>
      </c>
      <c r="J49" t="n">
        <v>0</v>
      </c>
    </row>
    <row r="50">
      <c r="A50" s="4" t="n">
        <v>46244</v>
      </c>
      <c r="B50" t="inlineStr">
        <is>
          <t>Телефон</t>
        </is>
      </c>
      <c r="C50" t="n">
        <v/>
      </c>
      <c r="D50" t="n">
        <v/>
      </c>
      <c r="E50" t="n">
        <v/>
      </c>
      <c r="F50" t="n">
        <v>3</v>
      </c>
      <c r="G50" t="n">
        <v>3</v>
      </c>
      <c r="H50" t="n">
        <v>1</v>
      </c>
      <c r="I50" t="n">
        <v>0</v>
      </c>
      <c r="J50" t="n">
        <v>0</v>
      </c>
    </row>
    <row r="51">
      <c r="A51" s="4" t="n">
        <v>46244</v>
      </c>
      <c r="B51" t="inlineStr">
        <is>
          <t>Прочее</t>
        </is>
      </c>
      <c r="C51" t="n">
        <v/>
      </c>
      <c r="D51" t="n">
        <v/>
      </c>
      <c r="E51" t="n">
        <v/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4" t="n">
        <v>46245</v>
      </c>
      <c r="B52" t="inlineStr">
        <is>
          <t>Google Ads</t>
        </is>
      </c>
      <c r="C52" t="n">
        <v>38.461965</v>
      </c>
      <c r="D52" t="n">
        <v>178</v>
      </c>
      <c r="E52" t="n">
        <v>1391</v>
      </c>
      <c r="F52" t="n">
        <v>4</v>
      </c>
      <c r="G52" t="n">
        <v>3</v>
      </c>
      <c r="H52" t="n">
        <v>0</v>
      </c>
      <c r="I52" t="n">
        <v>3</v>
      </c>
      <c r="J52" t="n">
        <v>2</v>
      </c>
    </row>
    <row r="53">
      <c r="A53" s="4" t="n">
        <v>46245</v>
      </c>
      <c r="B53" t="inlineStr">
        <is>
          <t>Facebook</t>
        </is>
      </c>
      <c r="C53" t="n">
        <v>26.78116343490305</v>
      </c>
      <c r="D53" t="n">
        <v>476</v>
      </c>
      <c r="E53" t="n">
        <v>12964</v>
      </c>
      <c r="F53" t="n">
        <v>4</v>
      </c>
      <c r="G53" t="n">
        <v>3</v>
      </c>
      <c r="H53" t="n">
        <v>2</v>
      </c>
      <c r="I53" t="n">
        <v>4</v>
      </c>
      <c r="J53" t="n">
        <v>3</v>
      </c>
    </row>
    <row r="54">
      <c r="A54" s="4" t="n">
        <v>46245</v>
      </c>
      <c r="B54" t="inlineStr">
        <is>
          <t>Нет метки</t>
        </is>
      </c>
      <c r="C54" t="n">
        <v/>
      </c>
      <c r="D54" t="n">
        <v/>
      </c>
      <c r="E54" t="n">
        <v/>
      </c>
      <c r="F54" t="n">
        <v>1</v>
      </c>
      <c r="G54" t="n">
        <v>1</v>
      </c>
      <c r="H54" t="n">
        <v>2</v>
      </c>
      <c r="I54" t="n">
        <v>1</v>
      </c>
      <c r="J54" t="n">
        <v>0</v>
      </c>
    </row>
    <row r="55">
      <c r="A55" s="4" t="n">
        <v>46245</v>
      </c>
      <c r="B55" t="inlineStr">
        <is>
          <t>Телефон</t>
        </is>
      </c>
      <c r="C55" t="n">
        <v/>
      </c>
      <c r="D55" t="n">
        <v/>
      </c>
      <c r="E55" t="n">
        <v/>
      </c>
      <c r="F55" t="n">
        <v>13</v>
      </c>
      <c r="G55" t="n">
        <v>13</v>
      </c>
      <c r="H55" t="n">
        <v>1</v>
      </c>
      <c r="I55" t="n">
        <v>0</v>
      </c>
      <c r="J55" t="n">
        <v>0</v>
      </c>
    </row>
    <row r="56">
      <c r="A56" s="4" t="n">
        <v>46245</v>
      </c>
      <c r="B56" t="inlineStr">
        <is>
          <t>Прочее</t>
        </is>
      </c>
      <c r="C56" t="n">
        <v/>
      </c>
      <c r="D56" t="n">
        <v/>
      </c>
      <c r="E56" t="n">
        <v/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4" t="n">
        <v>46246</v>
      </c>
      <c r="B57" t="inlineStr">
        <is>
          <t>Google Ads</t>
        </is>
      </c>
      <c r="C57" t="n">
        <v>54.980635</v>
      </c>
      <c r="D57" t="n">
        <v>156</v>
      </c>
      <c r="E57" t="n">
        <v>1455</v>
      </c>
      <c r="F57" t="n">
        <v>3</v>
      </c>
      <c r="G57" t="n">
        <v>3</v>
      </c>
      <c r="H57" t="n">
        <v>2</v>
      </c>
      <c r="I57" t="n">
        <v>4</v>
      </c>
      <c r="J57" t="n">
        <v>4</v>
      </c>
    </row>
    <row r="58">
      <c r="A58" s="4" t="n">
        <v>46246</v>
      </c>
      <c r="B58" t="inlineStr">
        <is>
          <t>Facebook</t>
        </is>
      </c>
      <c r="C58" t="n">
        <v>27.8781163434903</v>
      </c>
      <c r="D58" t="n">
        <v>566</v>
      </c>
      <c r="E58" t="n">
        <v>14513</v>
      </c>
      <c r="F58" t="n">
        <v>3</v>
      </c>
      <c r="G58" t="n">
        <v>2</v>
      </c>
      <c r="H58" t="n">
        <v>2</v>
      </c>
      <c r="I58" t="n">
        <v>3</v>
      </c>
      <c r="J58" t="n">
        <v>2</v>
      </c>
    </row>
    <row r="59">
      <c r="A59" s="4" t="n">
        <v>46246</v>
      </c>
      <c r="B59" t="inlineStr">
        <is>
          <t>Нет метки</t>
        </is>
      </c>
      <c r="C59" t="n">
        <v/>
      </c>
      <c r="D59" t="n">
        <v/>
      </c>
      <c r="E59" t="n">
        <v/>
      </c>
      <c r="F59" t="n">
        <v>1</v>
      </c>
      <c r="G59" t="n">
        <v>1</v>
      </c>
      <c r="H59" t="n">
        <v>0</v>
      </c>
      <c r="I59" t="n">
        <v>0</v>
      </c>
      <c r="J59" t="n">
        <v>0</v>
      </c>
    </row>
    <row r="60">
      <c r="A60" s="4" t="n">
        <v>46246</v>
      </c>
      <c r="B60" t="inlineStr">
        <is>
          <t>Телефон</t>
        </is>
      </c>
      <c r="C60" t="n">
        <v/>
      </c>
      <c r="D60" t="n">
        <v/>
      </c>
      <c r="E60" t="n">
        <v/>
      </c>
      <c r="F60" t="n">
        <v>11</v>
      </c>
      <c r="G60" t="n">
        <v>11</v>
      </c>
      <c r="H60" t="n">
        <v>0</v>
      </c>
      <c r="I60" t="n">
        <v>0</v>
      </c>
      <c r="J60" t="n">
        <v>0</v>
      </c>
    </row>
    <row r="61">
      <c r="A61" s="4" t="n">
        <v>46246</v>
      </c>
      <c r="B61" t="inlineStr">
        <is>
          <t>Прочее</t>
        </is>
      </c>
      <c r="C61" t="n">
        <v/>
      </c>
      <c r="D61" t="n">
        <v/>
      </c>
      <c r="E61" t="n">
        <v/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4" t="n">
        <v>46247</v>
      </c>
      <c r="B62" t="inlineStr">
        <is>
          <t>Google Ads</t>
        </is>
      </c>
      <c r="C62" t="n">
        <v>81.152964</v>
      </c>
      <c r="D62" t="n">
        <v>342</v>
      </c>
      <c r="E62" t="n">
        <v>4827</v>
      </c>
      <c r="F62" t="n">
        <v>2</v>
      </c>
      <c r="G62" t="n">
        <v>2</v>
      </c>
      <c r="H62" t="n">
        <v>3</v>
      </c>
      <c r="I62" t="n">
        <v>1</v>
      </c>
      <c r="J62" t="n">
        <v>1</v>
      </c>
    </row>
    <row r="63">
      <c r="A63" s="4" t="n">
        <v>46247</v>
      </c>
      <c r="B63" t="inlineStr">
        <is>
          <t>Facebook</t>
        </is>
      </c>
      <c r="C63" t="n">
        <v>28.8005540166205</v>
      </c>
      <c r="D63" t="n">
        <v>471</v>
      </c>
      <c r="E63" t="n">
        <v>10869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4" t="n">
        <v>46247</v>
      </c>
      <c r="B64" t="inlineStr">
        <is>
          <t>Нет метки</t>
        </is>
      </c>
      <c r="C64" t="n">
        <v/>
      </c>
      <c r="D64" t="n">
        <v/>
      </c>
      <c r="E64" t="n">
        <v/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4" t="n">
        <v>46247</v>
      </c>
      <c r="B65" t="inlineStr">
        <is>
          <t>Телефон</t>
        </is>
      </c>
      <c r="C65" t="n">
        <v/>
      </c>
      <c r="D65" t="n">
        <v/>
      </c>
      <c r="E65" t="n">
        <v/>
      </c>
      <c r="F65" t="n">
        <v>5</v>
      </c>
      <c r="G65" t="n">
        <v>5</v>
      </c>
      <c r="H65" t="n">
        <v>0</v>
      </c>
      <c r="I65" t="n">
        <v>0</v>
      </c>
      <c r="J65" t="n">
        <v>0</v>
      </c>
    </row>
    <row r="66">
      <c r="A66" s="4" t="n">
        <v>46247</v>
      </c>
      <c r="B66" t="inlineStr">
        <is>
          <t>Прочее</t>
        </is>
      </c>
      <c r="C66" t="n">
        <v/>
      </c>
      <c r="D66" t="n">
        <v/>
      </c>
      <c r="E66" t="n">
        <v/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4" t="n">
        <v>46248</v>
      </c>
      <c r="B67" t="inlineStr">
        <is>
          <t>Google Ads</t>
        </is>
      </c>
      <c r="C67" t="n">
        <v>33.798495</v>
      </c>
      <c r="D67" t="n">
        <v>296</v>
      </c>
      <c r="E67" t="n">
        <v>7363</v>
      </c>
      <c r="F67" t="n">
        <v>2</v>
      </c>
      <c r="G67" t="n">
        <v>2</v>
      </c>
      <c r="H67" t="n">
        <v>1</v>
      </c>
      <c r="I67" t="n">
        <v>2</v>
      </c>
      <c r="J67" t="n">
        <v>2</v>
      </c>
    </row>
    <row r="68">
      <c r="A68" s="4" t="n">
        <v>46248</v>
      </c>
      <c r="B68" t="inlineStr">
        <is>
          <t>Facebook</t>
        </is>
      </c>
      <c r="C68" t="n">
        <v>30.18282548476454</v>
      </c>
      <c r="D68" t="n">
        <v>425</v>
      </c>
      <c r="E68" t="n">
        <v>10810</v>
      </c>
      <c r="F68" t="n">
        <v>2</v>
      </c>
      <c r="G68" t="n">
        <v>2</v>
      </c>
      <c r="H68" t="n">
        <v>0</v>
      </c>
      <c r="I68" t="n">
        <v>2</v>
      </c>
      <c r="J68" t="n">
        <v>2</v>
      </c>
    </row>
    <row r="69">
      <c r="A69" s="4" t="n">
        <v>46248</v>
      </c>
      <c r="B69" t="inlineStr">
        <is>
          <t>Нет метки</t>
        </is>
      </c>
      <c r="C69" t="n">
        <v/>
      </c>
      <c r="D69" t="n">
        <v/>
      </c>
      <c r="E69" t="n">
        <v/>
      </c>
      <c r="F69" t="n">
        <v>1</v>
      </c>
      <c r="G69" t="n">
        <v>1</v>
      </c>
      <c r="H69" t="n">
        <v>0</v>
      </c>
      <c r="I69" t="n">
        <v>0</v>
      </c>
      <c r="J69" t="n">
        <v>0</v>
      </c>
    </row>
    <row r="70">
      <c r="A70" s="4" t="n">
        <v>46248</v>
      </c>
      <c r="B70" t="inlineStr">
        <is>
          <t>Телефон</t>
        </is>
      </c>
      <c r="C70" t="n">
        <v/>
      </c>
      <c r="D70" t="n">
        <v/>
      </c>
      <c r="E70" t="n">
        <v/>
      </c>
      <c r="F70" t="n">
        <v>3</v>
      </c>
      <c r="G70" t="n">
        <v>3</v>
      </c>
      <c r="H70" t="n">
        <v>1</v>
      </c>
      <c r="I70" t="n">
        <v>0</v>
      </c>
      <c r="J70" t="n">
        <v>0</v>
      </c>
    </row>
    <row r="71">
      <c r="A71" s="4" t="n">
        <v>46248</v>
      </c>
      <c r="B71" t="inlineStr">
        <is>
          <t>Прочее</t>
        </is>
      </c>
      <c r="C71" t="n">
        <v/>
      </c>
      <c r="D71" t="n">
        <v/>
      </c>
      <c r="E71" t="n">
        <v/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4" t="n">
        <v>46249</v>
      </c>
      <c r="B72" t="inlineStr">
        <is>
          <t>Google Ads</t>
        </is>
      </c>
      <c r="C72" t="n">
        <v>20.174068</v>
      </c>
      <c r="D72" t="n">
        <v>54</v>
      </c>
      <c r="E72" t="n">
        <v>673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</row>
    <row r="73">
      <c r="A73" s="4" t="n">
        <v>46249</v>
      </c>
      <c r="B73" t="inlineStr">
        <is>
          <t>Facebook</t>
        </is>
      </c>
      <c r="C73" t="n">
        <v>36.88919667590027</v>
      </c>
      <c r="D73" t="n">
        <v>552</v>
      </c>
      <c r="E73" t="n">
        <v>14283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4" t="n">
        <v>46249</v>
      </c>
      <c r="B74" t="inlineStr">
        <is>
          <t>Нет метки</t>
        </is>
      </c>
      <c r="C74" t="n">
        <v/>
      </c>
      <c r="D74" t="n">
        <v/>
      </c>
      <c r="E74" t="n">
        <v/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4" t="n">
        <v>46249</v>
      </c>
      <c r="B75" t="inlineStr">
        <is>
          <t>Телефон</t>
        </is>
      </c>
      <c r="C75" t="n">
        <v/>
      </c>
      <c r="D75" t="n">
        <v/>
      </c>
      <c r="E75" t="n">
        <v/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s="4" t="n">
        <v>46249</v>
      </c>
      <c r="B76" t="inlineStr">
        <is>
          <t>Прочее</t>
        </is>
      </c>
      <c r="C76" t="n">
        <v/>
      </c>
      <c r="D76" t="n">
        <v/>
      </c>
      <c r="E76" t="n">
        <v/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4" t="n">
        <v>46250</v>
      </c>
      <c r="B77" t="inlineStr">
        <is>
          <t>Google Ads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4" t="n">
        <v>46250</v>
      </c>
      <c r="B78" t="inlineStr">
        <is>
          <t>Facebook</t>
        </is>
      </c>
      <c r="C78" t="n">
        <v>38.30470914127424</v>
      </c>
      <c r="D78" t="n">
        <v>667</v>
      </c>
      <c r="E78" t="n">
        <v>15836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4" t="n">
        <v>46250</v>
      </c>
      <c r="B79" t="inlineStr">
        <is>
          <t>Нет метки</t>
        </is>
      </c>
      <c r="C79" t="n">
        <v/>
      </c>
      <c r="D79" t="n">
        <v/>
      </c>
      <c r="E79" t="n">
        <v/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4" t="n">
        <v>46250</v>
      </c>
      <c r="B80" t="inlineStr">
        <is>
          <t>Телефон</t>
        </is>
      </c>
      <c r="C80" t="n">
        <v/>
      </c>
      <c r="D80" t="n">
        <v/>
      </c>
      <c r="E80" t="n">
        <v/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s="4" t="n">
        <v>46250</v>
      </c>
      <c r="B81" t="inlineStr">
        <is>
          <t>Прочее</t>
        </is>
      </c>
      <c r="C81" t="n">
        <v/>
      </c>
      <c r="D81" t="n">
        <v/>
      </c>
      <c r="E81" t="n">
        <v/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4" t="n">
        <v>46251</v>
      </c>
      <c r="B82" t="inlineStr">
        <is>
          <t>Google Ads</t>
        </is>
      </c>
      <c r="C82" t="n">
        <v>94.518922</v>
      </c>
      <c r="D82" t="n">
        <v>717</v>
      </c>
      <c r="E82" t="n">
        <v>11478</v>
      </c>
      <c r="F82" t="n">
        <v>7</v>
      </c>
      <c r="G82" t="n">
        <v>4</v>
      </c>
      <c r="H82" t="n">
        <v>1</v>
      </c>
      <c r="I82" t="n">
        <v>4</v>
      </c>
      <c r="J82" t="n">
        <v>3</v>
      </c>
    </row>
    <row r="83">
      <c r="A83" s="4" t="n">
        <v>46251</v>
      </c>
      <c r="B83" t="inlineStr">
        <is>
          <t>Facebook</t>
        </is>
      </c>
      <c r="C83" t="n">
        <v>27.20775623268698</v>
      </c>
      <c r="D83" t="n">
        <v>402</v>
      </c>
      <c r="E83" t="n">
        <v>12444</v>
      </c>
      <c r="F83" t="n">
        <v>2</v>
      </c>
      <c r="G83" t="n">
        <v>1</v>
      </c>
      <c r="H83" t="n">
        <v>1</v>
      </c>
      <c r="I83" t="n">
        <v>2</v>
      </c>
      <c r="J83" t="n">
        <v>1</v>
      </c>
    </row>
    <row r="84">
      <c r="A84" s="4" t="n">
        <v>46251</v>
      </c>
      <c r="B84" t="inlineStr">
        <is>
          <t>Нет метки</t>
        </is>
      </c>
      <c r="C84" t="n">
        <v/>
      </c>
      <c r="D84" t="n">
        <v/>
      </c>
      <c r="E84" t="n">
        <v/>
      </c>
      <c r="F84" t="n">
        <v>3</v>
      </c>
      <c r="G84" t="n">
        <v>3</v>
      </c>
      <c r="H84" t="n">
        <v>0</v>
      </c>
      <c r="I84" t="n">
        <v>1</v>
      </c>
      <c r="J84" t="n">
        <v>0</v>
      </c>
    </row>
    <row r="85">
      <c r="A85" s="4" t="n">
        <v>46251</v>
      </c>
      <c r="B85" t="inlineStr">
        <is>
          <t>Телефон</t>
        </is>
      </c>
      <c r="C85" t="n">
        <v/>
      </c>
      <c r="D85" t="n">
        <v/>
      </c>
      <c r="E85" t="n">
        <v/>
      </c>
      <c r="F85" t="n">
        <v>5</v>
      </c>
      <c r="G85" t="n">
        <v>5</v>
      </c>
      <c r="H85" t="n">
        <v>2</v>
      </c>
      <c r="I85" t="n">
        <v>0</v>
      </c>
      <c r="J85" t="n">
        <v>0</v>
      </c>
    </row>
    <row r="86">
      <c r="A86" s="4" t="n">
        <v>46251</v>
      </c>
      <c r="B86" t="inlineStr">
        <is>
          <t>Прочее</t>
        </is>
      </c>
      <c r="C86" t="n">
        <v/>
      </c>
      <c r="D86" t="n">
        <v/>
      </c>
      <c r="E86" t="n">
        <v/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s="4" t="n">
        <v>46252</v>
      </c>
      <c r="B87" t="inlineStr">
        <is>
          <t>Google Ads</t>
        </is>
      </c>
      <c r="C87" t="n">
        <v>242.605473</v>
      </c>
      <c r="D87" t="n">
        <v>3509</v>
      </c>
      <c r="E87" t="n">
        <v>100730</v>
      </c>
      <c r="F87" t="n">
        <v>7</v>
      </c>
      <c r="G87" t="n">
        <v>5</v>
      </c>
      <c r="H87" t="n">
        <v>5</v>
      </c>
      <c r="I87" t="n">
        <v>8</v>
      </c>
      <c r="J87" t="n">
        <v>7</v>
      </c>
    </row>
    <row r="88">
      <c r="A88" s="4" t="n">
        <v>46252</v>
      </c>
      <c r="B88" t="inlineStr">
        <is>
          <t>Facebook</t>
        </is>
      </c>
      <c r="C88" t="n">
        <v>36.09972299168975</v>
      </c>
      <c r="D88" t="n">
        <v>541</v>
      </c>
      <c r="E88" t="n">
        <v>14198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s="4" t="n">
        <v>46252</v>
      </c>
      <c r="B89" t="inlineStr">
        <is>
          <t>Нет метки</t>
        </is>
      </c>
      <c r="C89" t="n">
        <v/>
      </c>
      <c r="D89" t="n">
        <v/>
      </c>
      <c r="E89" t="n">
        <v/>
      </c>
      <c r="F89" t="n">
        <v>1</v>
      </c>
      <c r="G89" t="n">
        <v>1</v>
      </c>
      <c r="H89" t="n">
        <v>0</v>
      </c>
      <c r="I89" t="n">
        <v>0</v>
      </c>
      <c r="J89" t="n">
        <v>0</v>
      </c>
    </row>
    <row r="90">
      <c r="A90" s="4" t="n">
        <v>46252</v>
      </c>
      <c r="B90" t="inlineStr">
        <is>
          <t>Телефон</t>
        </is>
      </c>
      <c r="C90" t="n">
        <v/>
      </c>
      <c r="D90" t="n">
        <v/>
      </c>
      <c r="E90" t="n">
        <v/>
      </c>
      <c r="F90" t="n">
        <v>3</v>
      </c>
      <c r="G90" t="n">
        <v>3</v>
      </c>
      <c r="H90" t="n">
        <v>0</v>
      </c>
      <c r="I90" t="n">
        <v>0</v>
      </c>
      <c r="J90" t="n">
        <v>0</v>
      </c>
    </row>
    <row r="91">
      <c r="A91" s="4" t="n">
        <v>46252</v>
      </c>
      <c r="B91" t="inlineStr">
        <is>
          <t>Прочее</t>
        </is>
      </c>
      <c r="C91" t="n">
        <v/>
      </c>
      <c r="D91" t="n">
        <v/>
      </c>
      <c r="E91" t="n">
        <v/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4" t="n">
        <v>46253</v>
      </c>
      <c r="B92" t="inlineStr">
        <is>
          <t>Google Ads</t>
        </is>
      </c>
      <c r="C92" t="n">
        <v>164.571768</v>
      </c>
      <c r="D92" t="n">
        <v>2341</v>
      </c>
      <c r="E92" t="n">
        <v>112586</v>
      </c>
      <c r="F92" t="n">
        <v>6</v>
      </c>
      <c r="G92" t="n">
        <v>6</v>
      </c>
      <c r="H92" t="n">
        <v>0</v>
      </c>
      <c r="I92" t="n">
        <v>6</v>
      </c>
      <c r="J92" t="n">
        <v>6</v>
      </c>
    </row>
    <row r="93">
      <c r="A93" s="4" t="n">
        <v>46253</v>
      </c>
      <c r="B93" t="inlineStr">
        <is>
          <t>Facebook</t>
        </is>
      </c>
      <c r="C93" t="n">
        <v>36.24376731301939</v>
      </c>
      <c r="D93" t="n">
        <v>547</v>
      </c>
      <c r="E93" t="n">
        <v>13557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</row>
    <row r="94">
      <c r="A94" s="4" t="n">
        <v>46253</v>
      </c>
      <c r="B94" t="inlineStr">
        <is>
          <t>Нет метки</t>
        </is>
      </c>
      <c r="C94" t="n">
        <v/>
      </c>
      <c r="D94" t="n">
        <v/>
      </c>
      <c r="E94" t="n">
        <v/>
      </c>
      <c r="F94" t="n">
        <v>1</v>
      </c>
      <c r="G94" t="n">
        <v>1</v>
      </c>
      <c r="H94" t="n">
        <v>0</v>
      </c>
      <c r="I94" t="n">
        <v>0</v>
      </c>
      <c r="J94" t="n">
        <v>0</v>
      </c>
    </row>
    <row r="95">
      <c r="A95" s="4" t="n">
        <v>46253</v>
      </c>
      <c r="B95" t="inlineStr">
        <is>
          <t>Телефон</t>
        </is>
      </c>
      <c r="C95" t="n">
        <v/>
      </c>
      <c r="D95" t="n">
        <v/>
      </c>
      <c r="E95" t="n">
        <v/>
      </c>
      <c r="F95" t="n">
        <v>5</v>
      </c>
      <c r="G95" t="n">
        <v>5</v>
      </c>
      <c r="H95" t="n">
        <v>1</v>
      </c>
      <c r="I95" t="n">
        <v>0</v>
      </c>
      <c r="J95" t="n">
        <v>0</v>
      </c>
    </row>
    <row r="96">
      <c r="A96" s="4" t="n">
        <v>46253</v>
      </c>
      <c r="B96" t="inlineStr">
        <is>
          <t>Прочее</t>
        </is>
      </c>
      <c r="C96" t="n">
        <v/>
      </c>
      <c r="D96" t="n">
        <v/>
      </c>
      <c r="E96" t="n">
        <v/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4" t="n">
        <v>46254</v>
      </c>
      <c r="B97" t="inlineStr">
        <is>
          <t>Google Ads</t>
        </is>
      </c>
      <c r="C97" t="n">
        <v>49.731922</v>
      </c>
      <c r="D97" t="n">
        <v>179</v>
      </c>
      <c r="E97" t="n">
        <v>2341</v>
      </c>
      <c r="F97" t="n">
        <v>3</v>
      </c>
      <c r="G97" t="n">
        <v>3</v>
      </c>
      <c r="H97" t="n">
        <v>1</v>
      </c>
      <c r="I97" t="n">
        <v>3</v>
      </c>
      <c r="J97" t="n">
        <v>3</v>
      </c>
    </row>
    <row r="98">
      <c r="A98" s="4" t="n">
        <v>46254</v>
      </c>
      <c r="B98" t="inlineStr">
        <is>
          <t>Facebook</t>
        </is>
      </c>
      <c r="C98" t="n">
        <v>36.77562326869806</v>
      </c>
      <c r="D98" t="n">
        <v>569</v>
      </c>
      <c r="E98" t="n">
        <v>12503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</row>
    <row r="99">
      <c r="A99" s="4" t="n">
        <v>46254</v>
      </c>
      <c r="B99" t="inlineStr">
        <is>
          <t>Нет метки</t>
        </is>
      </c>
      <c r="C99" t="n">
        <v/>
      </c>
      <c r="D99" t="n">
        <v/>
      </c>
      <c r="E99" t="n">
        <v/>
      </c>
      <c r="F99" t="n">
        <v>1</v>
      </c>
      <c r="G99" t="n">
        <v>1</v>
      </c>
      <c r="H99" t="n">
        <v>0</v>
      </c>
      <c r="I99" t="n">
        <v>0</v>
      </c>
      <c r="J99" t="n">
        <v>0</v>
      </c>
    </row>
    <row r="100">
      <c r="A100" s="4" t="n">
        <v>46254</v>
      </c>
      <c r="B100" t="inlineStr">
        <is>
          <t>Телефон</t>
        </is>
      </c>
      <c r="C100" t="n">
        <v/>
      </c>
      <c r="D100" t="n">
        <v/>
      </c>
      <c r="E100" t="n">
        <v/>
      </c>
      <c r="F100" t="n">
        <v>3</v>
      </c>
      <c r="G100" t="n">
        <v>3</v>
      </c>
      <c r="H100" t="n">
        <v>0</v>
      </c>
      <c r="I100" t="n">
        <v>0</v>
      </c>
      <c r="J100" t="n">
        <v>0</v>
      </c>
    </row>
    <row r="101">
      <c r="A101" s="4" t="n">
        <v>46254</v>
      </c>
      <c r="B101" t="inlineStr">
        <is>
          <t>Прочее</t>
        </is>
      </c>
      <c r="C101" t="n">
        <v/>
      </c>
      <c r="D101" t="n">
        <v/>
      </c>
      <c r="E101" t="n">
        <v/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4" t="n">
        <v>46255</v>
      </c>
      <c r="B102" t="inlineStr">
        <is>
          <t>Google Ads</t>
        </is>
      </c>
      <c r="C102" t="n">
        <v>53.998164</v>
      </c>
      <c r="D102" t="n">
        <v>1054</v>
      </c>
      <c r="E102" t="n">
        <v>18407</v>
      </c>
      <c r="F102" t="n">
        <v>3</v>
      </c>
      <c r="G102" t="n">
        <v>3</v>
      </c>
      <c r="H102" t="n">
        <v>1</v>
      </c>
      <c r="I102" t="n">
        <v>2</v>
      </c>
      <c r="J102" t="n">
        <v>2</v>
      </c>
    </row>
    <row r="103">
      <c r="A103" s="4" t="n">
        <v>46255</v>
      </c>
      <c r="B103" t="inlineStr">
        <is>
          <t>Facebook</t>
        </is>
      </c>
      <c r="C103" t="n">
        <v>39.22991689750693</v>
      </c>
      <c r="D103" t="n">
        <v>520</v>
      </c>
      <c r="E103" t="n">
        <v>12401</v>
      </c>
      <c r="F103" t="n">
        <v>3</v>
      </c>
      <c r="G103" t="n">
        <v>1</v>
      </c>
      <c r="H103" t="n">
        <v>3</v>
      </c>
      <c r="I103" t="n">
        <v>3</v>
      </c>
      <c r="J103" t="n">
        <v>1</v>
      </c>
    </row>
    <row r="104">
      <c r="A104" s="4" t="n">
        <v>46255</v>
      </c>
      <c r="B104" t="inlineStr">
        <is>
          <t>Нет метки</t>
        </is>
      </c>
      <c r="C104" t="n">
        <v/>
      </c>
      <c r="D104" t="n">
        <v/>
      </c>
      <c r="E104" t="n">
        <v/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s="4" t="n">
        <v>46255</v>
      </c>
      <c r="B105" t="inlineStr">
        <is>
          <t>Телефон</t>
        </is>
      </c>
      <c r="C105" t="n">
        <v/>
      </c>
      <c r="D105" t="n">
        <v/>
      </c>
      <c r="E105" t="n">
        <v/>
      </c>
      <c r="F105" t="n">
        <v>5</v>
      </c>
      <c r="G105" t="n">
        <v>5</v>
      </c>
      <c r="H105" t="n">
        <v>0</v>
      </c>
      <c r="I105" t="n">
        <v>0</v>
      </c>
      <c r="J105" t="n">
        <v>0</v>
      </c>
    </row>
    <row r="106">
      <c r="A106" s="4" t="n">
        <v>46255</v>
      </c>
      <c r="B106" t="inlineStr">
        <is>
          <t>Прочее</t>
        </is>
      </c>
      <c r="C106" t="n">
        <v/>
      </c>
      <c r="D106" t="n">
        <v/>
      </c>
      <c r="E106" t="n">
        <v/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s="4" t="n">
        <v>46256</v>
      </c>
      <c r="B107" t="inlineStr">
        <is>
          <t>Google Ads</t>
        </is>
      </c>
      <c r="C107" t="n">
        <v>17.487727</v>
      </c>
      <c r="D107" t="n">
        <v>49</v>
      </c>
      <c r="E107" t="n">
        <v>599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</row>
    <row r="108">
      <c r="A108" s="4" t="n">
        <v>46256</v>
      </c>
      <c r="B108" t="inlineStr">
        <is>
          <t>Facebook</t>
        </is>
      </c>
      <c r="C108" t="n">
        <v>44.4792243767313</v>
      </c>
      <c r="D108" t="n">
        <v>608</v>
      </c>
      <c r="E108" t="n">
        <v>13750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s="4" t="n">
        <v>46256</v>
      </c>
      <c r="B109" t="inlineStr">
        <is>
          <t>Нет метки</t>
        </is>
      </c>
      <c r="C109" t="n">
        <v/>
      </c>
      <c r="D109" t="n">
        <v/>
      </c>
      <c r="E109" t="n">
        <v/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</row>
    <row r="110">
      <c r="A110" s="4" t="n">
        <v>46256</v>
      </c>
      <c r="B110" t="inlineStr">
        <is>
          <t>Телефон</t>
        </is>
      </c>
      <c r="C110" t="n">
        <v/>
      </c>
      <c r="D110" t="n">
        <v/>
      </c>
      <c r="E110" t="n">
        <v/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s="4" t="n">
        <v>46256</v>
      </c>
      <c r="B111" t="inlineStr">
        <is>
          <t>Прочее</t>
        </is>
      </c>
      <c r="C111" t="n">
        <v/>
      </c>
      <c r="D111" t="n">
        <v/>
      </c>
      <c r="E111" t="n">
        <v/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s="4" t="n">
        <v>46257</v>
      </c>
      <c r="B112" t="inlineStr">
        <is>
          <t>Google Ads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s="4" t="n">
        <v>46257</v>
      </c>
      <c r="B113" t="inlineStr">
        <is>
          <t>Facebook</t>
        </is>
      </c>
      <c r="C113" t="n">
        <v>48.54016620498615</v>
      </c>
      <c r="D113" t="n">
        <v>695</v>
      </c>
      <c r="E113" t="n">
        <v>15795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s="4" t="n">
        <v>46257</v>
      </c>
      <c r="B114" t="inlineStr">
        <is>
          <t>Нет метки</t>
        </is>
      </c>
      <c r="C114" t="n">
        <v/>
      </c>
      <c r="D114" t="n">
        <v/>
      </c>
      <c r="E114" t="n">
        <v/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s="4" t="n">
        <v>46257</v>
      </c>
      <c r="B115" t="inlineStr">
        <is>
          <t>Телефон</t>
        </is>
      </c>
      <c r="C115" t="n">
        <v/>
      </c>
      <c r="D115" t="n">
        <v/>
      </c>
      <c r="E115" t="n">
        <v/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s="4" t="n">
        <v>46257</v>
      </c>
      <c r="B116" t="inlineStr">
        <is>
          <t>Прочее</t>
        </is>
      </c>
      <c r="C116" t="n">
        <v/>
      </c>
      <c r="D116" t="n">
        <v/>
      </c>
      <c r="E116" t="n">
        <v/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s="4" t="n">
        <v>46258</v>
      </c>
      <c r="B117" t="inlineStr">
        <is>
          <t>Google Ads</t>
        </is>
      </c>
      <c r="C117" t="n">
        <v>242.99605</v>
      </c>
      <c r="D117" t="n">
        <v>3342</v>
      </c>
      <c r="E117" t="n">
        <v>80233</v>
      </c>
      <c r="F117" t="n">
        <v>15</v>
      </c>
      <c r="G117" t="n">
        <v>13</v>
      </c>
      <c r="H117" t="n">
        <v>4</v>
      </c>
      <c r="I117" t="n">
        <v>13</v>
      </c>
      <c r="J117" t="n">
        <v>12</v>
      </c>
    </row>
    <row r="118">
      <c r="A118" s="4" t="n">
        <v>46258</v>
      </c>
      <c r="B118" t="inlineStr">
        <is>
          <t>Facebook</t>
        </is>
      </c>
      <c r="C118" t="n">
        <v>36.7590027700831</v>
      </c>
      <c r="D118" t="n">
        <v>532</v>
      </c>
      <c r="E118" t="n">
        <v>12400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</row>
    <row r="119">
      <c r="A119" s="4" t="n">
        <v>46258</v>
      </c>
      <c r="B119" t="inlineStr">
        <is>
          <t>Нет метки</t>
        </is>
      </c>
      <c r="C119" t="n">
        <v/>
      </c>
      <c r="D119" t="n">
        <v/>
      </c>
      <c r="E119" t="n">
        <v/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</row>
    <row r="120">
      <c r="A120" s="4" t="n">
        <v>46258</v>
      </c>
      <c r="B120" t="inlineStr">
        <is>
          <t>Телефон</t>
        </is>
      </c>
      <c r="C120" t="n">
        <v/>
      </c>
      <c r="D120" t="n">
        <v/>
      </c>
      <c r="E120" t="n">
        <v/>
      </c>
      <c r="F120" t="n">
        <v>5</v>
      </c>
      <c r="G120" t="n">
        <v>5</v>
      </c>
      <c r="H120" t="n">
        <v>2</v>
      </c>
      <c r="I120" t="n">
        <v>0</v>
      </c>
      <c r="J120" t="n">
        <v>0</v>
      </c>
    </row>
    <row r="121">
      <c r="A121" s="4" t="n">
        <v>46258</v>
      </c>
      <c r="B121" t="inlineStr">
        <is>
          <t>Прочее</t>
        </is>
      </c>
      <c r="C121" t="n">
        <v/>
      </c>
      <c r="D121" t="n">
        <v/>
      </c>
      <c r="E121" t="n">
        <v/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s="4" t="n">
        <v>46259</v>
      </c>
      <c r="B122" t="inlineStr">
        <is>
          <t>Google Ads</t>
        </is>
      </c>
      <c r="C122" t="n">
        <v>245.936597</v>
      </c>
      <c r="D122" t="n">
        <v>3303</v>
      </c>
      <c r="E122" t="n">
        <v>138826</v>
      </c>
      <c r="F122" t="n">
        <v>20</v>
      </c>
      <c r="G122" t="n">
        <v>14</v>
      </c>
      <c r="H122" t="n">
        <v>8</v>
      </c>
      <c r="I122" t="n">
        <v>20</v>
      </c>
      <c r="J122" t="n">
        <v>14</v>
      </c>
    </row>
    <row r="123">
      <c r="A123" s="4" t="n">
        <v>46259</v>
      </c>
      <c r="B123" t="inlineStr">
        <is>
          <t>Facebook</t>
        </is>
      </c>
      <c r="C123" t="n">
        <v>31.86703601108033</v>
      </c>
      <c r="D123" t="n">
        <v>437</v>
      </c>
      <c r="E123" t="n">
        <v>9521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</row>
    <row r="124">
      <c r="A124" s="4" t="n">
        <v>46259</v>
      </c>
      <c r="B124" t="inlineStr">
        <is>
          <t>Нет метки</t>
        </is>
      </c>
      <c r="C124" t="n">
        <v/>
      </c>
      <c r="D124" t="n">
        <v/>
      </c>
      <c r="E124" t="n">
        <v/>
      </c>
      <c r="F124" t="n">
        <v>2</v>
      </c>
      <c r="G124" t="n">
        <v>2</v>
      </c>
      <c r="H124" t="n">
        <v>0</v>
      </c>
      <c r="I124" t="n">
        <v>0</v>
      </c>
      <c r="J124" t="n">
        <v>0</v>
      </c>
    </row>
    <row r="125">
      <c r="A125" s="4" t="n">
        <v>46259</v>
      </c>
      <c r="B125" t="inlineStr">
        <is>
          <t>Телефон</t>
        </is>
      </c>
      <c r="C125" t="n">
        <v/>
      </c>
      <c r="D125" t="n">
        <v/>
      </c>
      <c r="E125" t="n">
        <v/>
      </c>
      <c r="F125" t="n">
        <v>5</v>
      </c>
      <c r="G125" t="n">
        <v>5</v>
      </c>
      <c r="H125" t="n">
        <v>2</v>
      </c>
      <c r="I125" t="n">
        <v>0</v>
      </c>
      <c r="J125" t="n">
        <v>0</v>
      </c>
    </row>
    <row r="126">
      <c r="A126" s="4" t="n">
        <v>46259</v>
      </c>
      <c r="B126" t="inlineStr">
        <is>
          <t>Прочее</t>
        </is>
      </c>
      <c r="C126" t="n">
        <v/>
      </c>
      <c r="D126" t="n">
        <v/>
      </c>
      <c r="E126" t="n">
        <v/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s="4" t="n">
        <v>46260</v>
      </c>
      <c r="B127" t="inlineStr">
        <is>
          <t>Google Ads</t>
        </is>
      </c>
      <c r="C127" t="n">
        <v>35.432147</v>
      </c>
      <c r="D127" t="n">
        <v>194</v>
      </c>
      <c r="E127" t="n">
        <v>3212</v>
      </c>
      <c r="F127" t="n">
        <v>5</v>
      </c>
      <c r="G127" t="n">
        <v>5</v>
      </c>
      <c r="H127" t="n">
        <v>3</v>
      </c>
      <c r="I127" t="n">
        <v>5</v>
      </c>
      <c r="J127" t="n">
        <v>5</v>
      </c>
    </row>
    <row r="128">
      <c r="A128" s="4" t="n">
        <v>46260</v>
      </c>
      <c r="B128" t="inlineStr">
        <is>
          <t>Facebook</t>
        </is>
      </c>
      <c r="C128" t="n">
        <v>32.72299168975069</v>
      </c>
      <c r="D128" t="n">
        <v>460</v>
      </c>
      <c r="E128" t="n">
        <v>10006</v>
      </c>
      <c r="F128" t="n">
        <v>3</v>
      </c>
      <c r="G128" t="n">
        <v>3</v>
      </c>
      <c r="H128" t="n">
        <v>0</v>
      </c>
      <c r="I128" t="n">
        <v>3</v>
      </c>
      <c r="J128" t="n">
        <v>3</v>
      </c>
    </row>
    <row r="129">
      <c r="A129" s="4" t="n">
        <v>46260</v>
      </c>
      <c r="B129" t="inlineStr">
        <is>
          <t>Нет метки</t>
        </is>
      </c>
      <c r="C129" t="n">
        <v/>
      </c>
      <c r="D129" t="n">
        <v/>
      </c>
      <c r="E129" t="n">
        <v/>
      </c>
      <c r="F129" t="n">
        <v>3</v>
      </c>
      <c r="G129" t="n">
        <v>2</v>
      </c>
      <c r="H129" t="n">
        <v>1</v>
      </c>
      <c r="I129" t="n">
        <v>1</v>
      </c>
      <c r="J129" t="n">
        <v>0</v>
      </c>
    </row>
    <row r="130">
      <c r="A130" s="4" t="n">
        <v>46260</v>
      </c>
      <c r="B130" t="inlineStr">
        <is>
          <t>Телефон</t>
        </is>
      </c>
      <c r="C130" t="n">
        <v/>
      </c>
      <c r="D130" t="n">
        <v/>
      </c>
      <c r="E130" t="n">
        <v/>
      </c>
      <c r="F130" t="n">
        <v>8</v>
      </c>
      <c r="G130" t="n">
        <v>8</v>
      </c>
      <c r="H130" t="n">
        <v>0</v>
      </c>
      <c r="I130" t="n">
        <v>0</v>
      </c>
      <c r="J130" t="n">
        <v>0</v>
      </c>
    </row>
    <row r="131">
      <c r="A131" s="4" t="n">
        <v>46260</v>
      </c>
      <c r="B131" t="inlineStr">
        <is>
          <t>Прочее</t>
        </is>
      </c>
      <c r="C131" t="n">
        <v/>
      </c>
      <c r="D131" t="n">
        <v/>
      </c>
      <c r="E131" t="n">
        <v/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s="4" t="n">
        <v>46261</v>
      </c>
      <c r="B132" t="inlineStr">
        <is>
          <t>Google Ads</t>
        </is>
      </c>
      <c r="C132" t="n">
        <v>18.136418</v>
      </c>
      <c r="D132" t="n">
        <v>190</v>
      </c>
      <c r="E132" t="n">
        <v>2693</v>
      </c>
      <c r="F132" t="n">
        <v>5</v>
      </c>
      <c r="G132" t="n">
        <v>4</v>
      </c>
      <c r="H132" t="n">
        <v>2</v>
      </c>
      <c r="I132" t="n">
        <v>5</v>
      </c>
      <c r="J132" t="n">
        <v>4</v>
      </c>
    </row>
    <row r="133">
      <c r="A133" s="4" t="n">
        <v>46261</v>
      </c>
      <c r="B133" t="inlineStr">
        <is>
          <t>Facebook</t>
        </is>
      </c>
      <c r="C133" t="n">
        <v>31.67036011080333</v>
      </c>
      <c r="D133" t="n">
        <v>407</v>
      </c>
      <c r="E133" t="n">
        <v>10007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s="4" t="n">
        <v>46261</v>
      </c>
      <c r="B134" t="inlineStr">
        <is>
          <t>Нет метки</t>
        </is>
      </c>
      <c r="C134" t="n">
        <v/>
      </c>
      <c r="D134" t="n">
        <v/>
      </c>
      <c r="E134" t="n">
        <v/>
      </c>
      <c r="F134" t="n">
        <v>1</v>
      </c>
      <c r="G134" t="n">
        <v>1</v>
      </c>
      <c r="H134" t="n">
        <v>3</v>
      </c>
      <c r="I134" t="n">
        <v>0</v>
      </c>
      <c r="J134" t="n">
        <v>0</v>
      </c>
    </row>
    <row r="135">
      <c r="A135" s="4" t="n">
        <v>46261</v>
      </c>
      <c r="B135" t="inlineStr">
        <is>
          <t>Телефон</t>
        </is>
      </c>
      <c r="C135" t="n">
        <v/>
      </c>
      <c r="D135" t="n">
        <v/>
      </c>
      <c r="E135" t="n">
        <v/>
      </c>
      <c r="F135" t="n">
        <v>7</v>
      </c>
      <c r="G135" t="n">
        <v>7</v>
      </c>
      <c r="H135" t="n">
        <v>0</v>
      </c>
      <c r="I135" t="n">
        <v>0</v>
      </c>
      <c r="J135" t="n">
        <v>0</v>
      </c>
    </row>
    <row r="136">
      <c r="A136" s="4" t="n">
        <v>46261</v>
      </c>
      <c r="B136" t="inlineStr">
        <is>
          <t>Прочее</t>
        </is>
      </c>
      <c r="C136" t="n">
        <v/>
      </c>
      <c r="D136" t="n">
        <v/>
      </c>
      <c r="E136" t="n">
        <v/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s="4" t="n">
        <v>46262</v>
      </c>
      <c r="B137" t="inlineStr">
        <is>
          <t>Google Ads</t>
        </is>
      </c>
      <c r="C137" t="n">
        <v>32.065957</v>
      </c>
      <c r="D137" t="n">
        <v>159</v>
      </c>
      <c r="E137" t="n">
        <v>1780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s="4" t="n">
        <v>46262</v>
      </c>
      <c r="B138" t="inlineStr">
        <is>
          <t>Facebook</t>
        </is>
      </c>
      <c r="C138" t="n">
        <v>41.31301939058172</v>
      </c>
      <c r="D138" t="n">
        <v>572</v>
      </c>
      <c r="E138" t="n">
        <v>12798</v>
      </c>
      <c r="F138" t="n">
        <v>2</v>
      </c>
      <c r="G138" t="n">
        <v>1</v>
      </c>
      <c r="H138" t="n">
        <v>0</v>
      </c>
      <c r="I138" t="n">
        <v>2</v>
      </c>
      <c r="J138" t="n">
        <v>1</v>
      </c>
    </row>
    <row r="139">
      <c r="A139" s="4" t="n">
        <v>46262</v>
      </c>
      <c r="B139" t="inlineStr">
        <is>
          <t>Нет метки</t>
        </is>
      </c>
      <c r="C139" t="n">
        <v/>
      </c>
      <c r="D139" t="n">
        <v/>
      </c>
      <c r="E139" t="n">
        <v/>
      </c>
      <c r="F139" t="n">
        <v>2</v>
      </c>
      <c r="G139" t="n">
        <v>1</v>
      </c>
      <c r="H139" t="n">
        <v>1</v>
      </c>
      <c r="I139" t="n">
        <v>1</v>
      </c>
      <c r="J139" t="n">
        <v>0</v>
      </c>
    </row>
    <row r="140">
      <c r="A140" s="4" t="n">
        <v>46262</v>
      </c>
      <c r="B140" t="inlineStr">
        <is>
          <t>Телефон</t>
        </is>
      </c>
      <c r="C140" t="n">
        <v/>
      </c>
      <c r="D140" t="n">
        <v/>
      </c>
      <c r="E140" t="n">
        <v/>
      </c>
      <c r="F140" t="n">
        <v>5</v>
      </c>
      <c r="G140" t="n">
        <v>5</v>
      </c>
      <c r="H140" t="n">
        <v>2</v>
      </c>
      <c r="I140" t="n">
        <v>0</v>
      </c>
      <c r="J140" t="n">
        <v>0</v>
      </c>
    </row>
    <row r="141">
      <c r="A141" s="4" t="n">
        <v>46262</v>
      </c>
      <c r="B141" t="inlineStr">
        <is>
          <t>Прочее</t>
        </is>
      </c>
      <c r="C141" t="n">
        <v/>
      </c>
      <c r="D141" t="n">
        <v/>
      </c>
      <c r="E141" t="n">
        <v/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s="4" t="n">
        <v>46263</v>
      </c>
      <c r="B142" t="inlineStr">
        <is>
          <t>Google Ads</t>
        </is>
      </c>
      <c r="C142" t="n">
        <v>15.901632</v>
      </c>
      <c r="D142" t="n">
        <v>46</v>
      </c>
      <c r="E142" t="n">
        <v>536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s="4" t="n">
        <v>46263</v>
      </c>
      <c r="B143" t="inlineStr">
        <is>
          <t>Facebook</t>
        </is>
      </c>
      <c r="C143" t="n">
        <v>32.2409972299169</v>
      </c>
      <c r="D143" t="n">
        <v>444</v>
      </c>
      <c r="E143" t="n">
        <v>9104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s="4" t="n">
        <v>46263</v>
      </c>
      <c r="B144" t="inlineStr">
        <is>
          <t>Нет метки</t>
        </is>
      </c>
      <c r="C144" t="n">
        <v/>
      </c>
      <c r="D144" t="n">
        <v/>
      </c>
      <c r="E144" t="n">
        <v/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</row>
    <row r="145">
      <c r="A145" s="4" t="n">
        <v>46263</v>
      </c>
      <c r="B145" t="inlineStr">
        <is>
          <t>Телефон</t>
        </is>
      </c>
      <c r="C145" t="n">
        <v/>
      </c>
      <c r="D145" t="n">
        <v/>
      </c>
      <c r="E145" t="n">
        <v/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s="4" t="n">
        <v>46263</v>
      </c>
      <c r="B146" t="inlineStr">
        <is>
          <t>Прочее</t>
        </is>
      </c>
      <c r="C146" t="n">
        <v/>
      </c>
      <c r="D146" t="n">
        <v/>
      </c>
      <c r="E146" t="n">
        <v/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s="4" t="n">
        <v>46264</v>
      </c>
      <c r="B147" t="inlineStr">
        <is>
          <t>Google Ads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s="4" t="n">
        <v>46264</v>
      </c>
      <c r="B148" t="inlineStr">
        <is>
          <t>Facebook</t>
        </is>
      </c>
      <c r="C148" t="n">
        <v>39.39612188365651</v>
      </c>
      <c r="D148" t="n">
        <v>613</v>
      </c>
      <c r="E148" t="n">
        <v>14020</v>
      </c>
      <c r="F148" t="n">
        <v>2</v>
      </c>
      <c r="G148" t="n">
        <v>0</v>
      </c>
      <c r="H148" t="n">
        <v>0</v>
      </c>
      <c r="I148" t="n">
        <v>1</v>
      </c>
      <c r="J148" t="n">
        <v>0</v>
      </c>
    </row>
    <row r="149">
      <c r="A149" s="4" t="n">
        <v>46264</v>
      </c>
      <c r="B149" t="inlineStr">
        <is>
          <t>Нет метки</t>
        </is>
      </c>
      <c r="C149" t="n">
        <v/>
      </c>
      <c r="D149" t="n">
        <v/>
      </c>
      <c r="E149" t="n">
        <v/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s="4" t="n">
        <v>46264</v>
      </c>
      <c r="B150" t="inlineStr">
        <is>
          <t>Телефон</t>
        </is>
      </c>
      <c r="C150" t="n">
        <v/>
      </c>
      <c r="D150" t="n">
        <v/>
      </c>
      <c r="E150" t="n">
        <v/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s="4" t="n">
        <v>46264</v>
      </c>
      <c r="B151" t="inlineStr">
        <is>
          <t>Прочее</t>
        </is>
      </c>
      <c r="C151" t="n">
        <v/>
      </c>
      <c r="D151" t="n">
        <v/>
      </c>
      <c r="E151" t="n">
        <v/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s="4" t="n">
        <v>46265</v>
      </c>
      <c r="B152" t="inlineStr">
        <is>
          <t>Google Ads</t>
        </is>
      </c>
      <c r="C152" t="n">
        <v>20.010065</v>
      </c>
      <c r="D152" t="n">
        <v>96</v>
      </c>
      <c r="E152" t="n">
        <v>904</v>
      </c>
      <c r="F152" t="n">
        <v>2</v>
      </c>
      <c r="G152" t="n">
        <v>1</v>
      </c>
      <c r="H152" t="n">
        <v>2</v>
      </c>
      <c r="I152" t="n">
        <v>1</v>
      </c>
      <c r="J152" t="n">
        <v>1</v>
      </c>
    </row>
    <row r="153">
      <c r="A153" s="4" t="n">
        <v>46265</v>
      </c>
      <c r="B153" t="inlineStr">
        <is>
          <t>Facebook</t>
        </is>
      </c>
      <c r="C153" t="n">
        <v>31.57340720221607</v>
      </c>
      <c r="D153" t="n">
        <v>474</v>
      </c>
      <c r="E153" t="n">
        <v>10875</v>
      </c>
      <c r="F153" t="n">
        <v>2</v>
      </c>
      <c r="G153" t="n">
        <v>2</v>
      </c>
      <c r="H153" t="n">
        <v>1</v>
      </c>
      <c r="I153" t="n">
        <v>2</v>
      </c>
      <c r="J153" t="n">
        <v>2</v>
      </c>
    </row>
    <row r="154">
      <c r="A154" s="4" t="n">
        <v>46265</v>
      </c>
      <c r="B154" t="inlineStr">
        <is>
          <t>Нет метки</t>
        </is>
      </c>
      <c r="C154" t="n">
        <v/>
      </c>
      <c r="D154" t="n">
        <v/>
      </c>
      <c r="E154" t="n">
        <v/>
      </c>
      <c r="F154" t="n">
        <v>9</v>
      </c>
      <c r="G154" t="n">
        <v>4</v>
      </c>
      <c r="H154" t="n">
        <v>1</v>
      </c>
      <c r="I154" t="n">
        <v>1</v>
      </c>
      <c r="J154" t="n">
        <v>0</v>
      </c>
    </row>
    <row r="155">
      <c r="A155" s="4" t="n">
        <v>46265</v>
      </c>
      <c r="B155" t="inlineStr">
        <is>
          <t>Телефон</t>
        </is>
      </c>
      <c r="C155" t="n">
        <v/>
      </c>
      <c r="D155" t="n">
        <v/>
      </c>
      <c r="E155" t="n">
        <v/>
      </c>
      <c r="F155" t="n">
        <v>12</v>
      </c>
      <c r="G155" t="n">
        <v>12</v>
      </c>
      <c r="H155" t="n">
        <v>1</v>
      </c>
      <c r="I155" t="n">
        <v>0</v>
      </c>
      <c r="J155" t="n">
        <v>0</v>
      </c>
    </row>
    <row r="156">
      <c r="A156" s="4" t="n">
        <v>46265</v>
      </c>
      <c r="B156" t="inlineStr">
        <is>
          <t>Прочее</t>
        </is>
      </c>
      <c r="C156" t="n">
        <v/>
      </c>
      <c r="D156" t="n">
        <v/>
      </c>
      <c r="E156" t="n">
        <v/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s="4" t="n">
        <v>46266</v>
      </c>
      <c r="B157" t="inlineStr">
        <is>
          <t>Google Ads</t>
        </is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3</v>
      </c>
      <c r="I157" t="n">
        <v>0</v>
      </c>
      <c r="J157" t="n">
        <v>0</v>
      </c>
    </row>
    <row r="158">
      <c r="A158" s="4" t="n">
        <v>46266</v>
      </c>
      <c r="B158" t="inlineStr">
        <is>
          <t>Facebook</t>
        </is>
      </c>
      <c r="C158" t="n">
        <v>21.67590027700831</v>
      </c>
      <c r="D158" t="n">
        <v>309</v>
      </c>
      <c r="E158" t="n">
        <v>8396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</row>
    <row r="159">
      <c r="A159" s="4" t="n">
        <v>46266</v>
      </c>
      <c r="B159" t="inlineStr">
        <is>
          <t>Нет метки</t>
        </is>
      </c>
      <c r="C159" t="n">
        <v/>
      </c>
      <c r="D159" t="n">
        <v/>
      </c>
      <c r="E159" t="n">
        <v/>
      </c>
      <c r="F159" t="n">
        <v>8</v>
      </c>
      <c r="G159" t="n">
        <v>4</v>
      </c>
      <c r="H159" t="n">
        <v>1</v>
      </c>
      <c r="I159" t="n">
        <v>1</v>
      </c>
      <c r="J159" t="n">
        <v>0</v>
      </c>
    </row>
    <row r="160">
      <c r="A160" s="4" t="n">
        <v>46266</v>
      </c>
      <c r="B160" t="inlineStr">
        <is>
          <t>Телефон</t>
        </is>
      </c>
      <c r="C160" t="n">
        <v/>
      </c>
      <c r="D160" t="n">
        <v/>
      </c>
      <c r="E160" t="n">
        <v/>
      </c>
      <c r="F160" t="n">
        <v>9</v>
      </c>
      <c r="G160" t="n">
        <v>9</v>
      </c>
      <c r="H160" t="n">
        <v>1</v>
      </c>
      <c r="I160" t="n">
        <v>0</v>
      </c>
      <c r="J160" t="n">
        <v>0</v>
      </c>
    </row>
    <row r="161">
      <c r="A161" s="4" t="n">
        <v>46266</v>
      </c>
      <c r="B161" t="inlineStr">
        <is>
          <t>Прочее</t>
        </is>
      </c>
      <c r="C161" t="n">
        <v/>
      </c>
      <c r="D161" t="n">
        <v/>
      </c>
      <c r="E161" t="n">
        <v/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s="4" t="n">
        <v>46267</v>
      </c>
      <c r="B162" t="inlineStr">
        <is>
          <t>Google Ads</t>
        </is>
      </c>
      <c r="C162" t="n">
        <v>50.489314</v>
      </c>
      <c r="D162" t="n">
        <v>211</v>
      </c>
      <c r="E162" t="n">
        <v>2332</v>
      </c>
      <c r="F162" t="n">
        <v>6</v>
      </c>
      <c r="G162" t="n">
        <v>6</v>
      </c>
      <c r="H162" t="n">
        <v>1</v>
      </c>
      <c r="I162" t="n">
        <v>6</v>
      </c>
      <c r="J162" t="n">
        <v>6</v>
      </c>
    </row>
    <row r="163">
      <c r="A163" s="4" t="n">
        <v>46267</v>
      </c>
      <c r="B163" t="inlineStr">
        <is>
          <t>Facebook</t>
        </is>
      </c>
      <c r="C163" t="n">
        <v>31.85872576177286</v>
      </c>
      <c r="D163" t="n">
        <v>432</v>
      </c>
      <c r="E163" t="n">
        <v>10627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</row>
    <row r="164">
      <c r="A164" s="4" t="n">
        <v>46267</v>
      </c>
      <c r="B164" t="inlineStr">
        <is>
          <t>Нет метки</t>
        </is>
      </c>
      <c r="C164" t="n">
        <v/>
      </c>
      <c r="D164" t="n">
        <v/>
      </c>
      <c r="E164" t="n">
        <v/>
      </c>
      <c r="F164" t="n">
        <v>4</v>
      </c>
      <c r="G164" t="n">
        <v>4</v>
      </c>
      <c r="H164" t="n">
        <v>0</v>
      </c>
      <c r="I164" t="n">
        <v>0</v>
      </c>
      <c r="J164" t="n">
        <v>0</v>
      </c>
    </row>
    <row r="165">
      <c r="A165" s="4" t="n">
        <v>46267</v>
      </c>
      <c r="B165" t="inlineStr">
        <is>
          <t>Телефон</t>
        </is>
      </c>
      <c r="C165" t="n">
        <v/>
      </c>
      <c r="D165" t="n">
        <v/>
      </c>
      <c r="E165" t="n">
        <v/>
      </c>
      <c r="F165" t="n">
        <v>6</v>
      </c>
      <c r="G165" t="n">
        <v>6</v>
      </c>
      <c r="H165" t="n">
        <v>2</v>
      </c>
      <c r="I165" t="n">
        <v>0</v>
      </c>
      <c r="J165" t="n">
        <v>0</v>
      </c>
    </row>
    <row r="166">
      <c r="A166" s="4" t="n">
        <v>46267</v>
      </c>
      <c r="B166" t="inlineStr">
        <is>
          <t>Прочее</t>
        </is>
      </c>
      <c r="C166" t="n">
        <v/>
      </c>
      <c r="D166" t="n">
        <v/>
      </c>
      <c r="E166" t="n">
        <v/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s="4" t="n">
        <v>46268</v>
      </c>
      <c r="B167" t="inlineStr">
        <is>
          <t>Google Ads</t>
        </is>
      </c>
      <c r="C167" t="n">
        <v>76.201628</v>
      </c>
      <c r="D167" t="n">
        <v>286</v>
      </c>
      <c r="E167" t="n">
        <v>5455</v>
      </c>
      <c r="F167" t="n">
        <v>2</v>
      </c>
      <c r="G167" t="n">
        <v>2</v>
      </c>
      <c r="H167" t="n">
        <v>2</v>
      </c>
      <c r="I167" t="n">
        <v>2</v>
      </c>
      <c r="J167" t="n">
        <v>2</v>
      </c>
    </row>
    <row r="168">
      <c r="A168" s="4" t="n">
        <v>46268</v>
      </c>
      <c r="B168" t="inlineStr">
        <is>
          <t>Facebook</t>
        </is>
      </c>
      <c r="C168" t="n">
        <v>50.59833795013851</v>
      </c>
      <c r="D168" t="n">
        <v>478</v>
      </c>
      <c r="E168" t="n">
        <v>13538</v>
      </c>
      <c r="F168" t="n">
        <v>1</v>
      </c>
      <c r="G168" t="n">
        <v>1</v>
      </c>
      <c r="H168" t="n">
        <v>2</v>
      </c>
      <c r="I168" t="n">
        <v>1</v>
      </c>
      <c r="J168" t="n">
        <v>1</v>
      </c>
    </row>
    <row r="169">
      <c r="A169" s="4" t="n">
        <v>46268</v>
      </c>
      <c r="B169" t="inlineStr">
        <is>
          <t>Нет метки</t>
        </is>
      </c>
      <c r="C169" t="n">
        <v/>
      </c>
      <c r="D169" t="n">
        <v/>
      </c>
      <c r="E169" t="n">
        <v/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</row>
    <row r="170">
      <c r="A170" s="4" t="n">
        <v>46268</v>
      </c>
      <c r="B170" t="inlineStr">
        <is>
          <t>Телефон</t>
        </is>
      </c>
      <c r="C170" t="n">
        <v/>
      </c>
      <c r="D170" t="n">
        <v/>
      </c>
      <c r="E170" t="n">
        <v/>
      </c>
      <c r="F170" t="n">
        <v>9</v>
      </c>
      <c r="G170" t="n">
        <v>9</v>
      </c>
      <c r="H170" t="n">
        <v>1</v>
      </c>
      <c r="I170" t="n">
        <v>0</v>
      </c>
      <c r="J170" t="n">
        <v>0</v>
      </c>
    </row>
    <row r="171">
      <c r="A171" s="4" t="n">
        <v>46268</v>
      </c>
      <c r="B171" t="inlineStr">
        <is>
          <t>Прочее</t>
        </is>
      </c>
      <c r="C171" t="n">
        <v/>
      </c>
      <c r="D171" t="n">
        <v/>
      </c>
      <c r="E171" t="n">
        <v/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s="4" t="n">
        <v>46269</v>
      </c>
      <c r="B172" t="inlineStr">
        <is>
          <t>Google Ads</t>
        </is>
      </c>
      <c r="C172" t="n">
        <v>122.290535</v>
      </c>
      <c r="D172" t="n">
        <v>1747</v>
      </c>
      <c r="E172" t="n">
        <v>34360</v>
      </c>
      <c r="F172" t="n">
        <v>2</v>
      </c>
      <c r="G172" t="n">
        <v>2</v>
      </c>
      <c r="H172" t="n">
        <v>2</v>
      </c>
      <c r="I172" t="n">
        <v>2</v>
      </c>
      <c r="J172" t="n">
        <v>2</v>
      </c>
    </row>
    <row r="173">
      <c r="A173" s="4" t="n">
        <v>46269</v>
      </c>
      <c r="B173" t="inlineStr">
        <is>
          <t>Facebook</t>
        </is>
      </c>
      <c r="C173" t="n">
        <v>36.81994459833795</v>
      </c>
      <c r="D173" t="n">
        <v>406</v>
      </c>
      <c r="E173" t="n">
        <v>9691</v>
      </c>
      <c r="F173" t="n">
        <v>2</v>
      </c>
      <c r="G173" t="n">
        <v>2</v>
      </c>
      <c r="H173" t="n">
        <v>1</v>
      </c>
      <c r="I173" t="n">
        <v>2</v>
      </c>
      <c r="J173" t="n">
        <v>2</v>
      </c>
    </row>
    <row r="174">
      <c r="A174" s="4" t="n">
        <v>46269</v>
      </c>
      <c r="B174" t="inlineStr">
        <is>
          <t>Нет метки</t>
        </is>
      </c>
      <c r="C174" t="n">
        <v/>
      </c>
      <c r="D174" t="n">
        <v/>
      </c>
      <c r="E174" t="n">
        <v/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</row>
    <row r="175">
      <c r="A175" s="4" t="n">
        <v>46269</v>
      </c>
      <c r="B175" t="inlineStr">
        <is>
          <t>Телефон</t>
        </is>
      </c>
      <c r="C175" t="n">
        <v/>
      </c>
      <c r="D175" t="n">
        <v/>
      </c>
      <c r="E175" t="n">
        <v/>
      </c>
      <c r="F175" t="n">
        <v>9</v>
      </c>
      <c r="G175" t="n">
        <v>9</v>
      </c>
      <c r="H175" t="n">
        <v>0</v>
      </c>
      <c r="I175" t="n">
        <v>0</v>
      </c>
      <c r="J175" t="n">
        <v>0</v>
      </c>
    </row>
    <row r="176">
      <c r="A176" s="4" t="n">
        <v>46269</v>
      </c>
      <c r="B176" t="inlineStr">
        <is>
          <t>Прочее</t>
        </is>
      </c>
      <c r="C176" t="n">
        <v/>
      </c>
      <c r="D176" t="n">
        <v/>
      </c>
      <c r="E176" t="n">
        <v/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s="4" t="n">
        <v>46270</v>
      </c>
      <c r="B177" t="inlineStr">
        <is>
          <t>Google Ads</t>
        </is>
      </c>
      <c r="C177" t="n">
        <v>30.812762</v>
      </c>
      <c r="D177" t="n">
        <v>85</v>
      </c>
      <c r="E177" t="n">
        <v>732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s="4" t="n">
        <v>46270</v>
      </c>
      <c r="B178" t="inlineStr">
        <is>
          <t>Facebook</t>
        </is>
      </c>
      <c r="C178" t="n">
        <v>35.49861495844875</v>
      </c>
      <c r="D178" t="n">
        <v>408</v>
      </c>
      <c r="E178" t="n">
        <v>10152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</row>
    <row r="179">
      <c r="A179" s="4" t="n">
        <v>46270</v>
      </c>
      <c r="B179" t="inlineStr">
        <is>
          <t>Нет метки</t>
        </is>
      </c>
      <c r="C179" t="n">
        <v/>
      </c>
      <c r="D179" t="n">
        <v/>
      </c>
      <c r="E179" t="n">
        <v/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s="4" t="n">
        <v>46270</v>
      </c>
      <c r="B180" t="inlineStr">
        <is>
          <t>Телефон</t>
        </is>
      </c>
      <c r="C180" t="n">
        <v/>
      </c>
      <c r="D180" t="n">
        <v/>
      </c>
      <c r="E180" t="n">
        <v/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s="4" t="n">
        <v>46270</v>
      </c>
      <c r="B181" t="inlineStr">
        <is>
          <t>Прочее</t>
        </is>
      </c>
      <c r="C181" t="n">
        <v/>
      </c>
      <c r="D181" t="n">
        <v/>
      </c>
      <c r="E181" t="n">
        <v/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s="4" t="n">
        <v>46271</v>
      </c>
      <c r="B182" t="inlineStr">
        <is>
          <t>Google Ads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s="4" t="n">
        <v>46271</v>
      </c>
      <c r="B183" t="inlineStr">
        <is>
          <t>Facebook</t>
        </is>
      </c>
      <c r="C183" t="n">
        <v>34.61772853185596</v>
      </c>
      <c r="D183" t="n">
        <v>497</v>
      </c>
      <c r="E183" t="n">
        <v>10982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</row>
    <row r="184">
      <c r="A184" s="4" t="n">
        <v>46271</v>
      </c>
      <c r="B184" t="inlineStr">
        <is>
          <t>Нет метки</t>
        </is>
      </c>
      <c r="C184" t="n">
        <v/>
      </c>
      <c r="D184" t="n">
        <v/>
      </c>
      <c r="E184" t="n">
        <v/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s="4" t="n">
        <v>46271</v>
      </c>
      <c r="B185" t="inlineStr">
        <is>
          <t>Телефон</t>
        </is>
      </c>
      <c r="C185" t="n">
        <v/>
      </c>
      <c r="D185" t="n">
        <v/>
      </c>
      <c r="E185" t="n">
        <v/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s="4" t="n">
        <v>46271</v>
      </c>
      <c r="B186" t="inlineStr">
        <is>
          <t>Прочее</t>
        </is>
      </c>
      <c r="C186" t="n">
        <v/>
      </c>
      <c r="D186" t="n">
        <v/>
      </c>
      <c r="E186" t="n">
        <v/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s="4" t="n">
        <v>46272</v>
      </c>
      <c r="B187" t="inlineStr">
        <is>
          <t>Google Ads</t>
        </is>
      </c>
      <c r="C187" t="n">
        <v>100.121514</v>
      </c>
      <c r="D187" t="n">
        <v>310</v>
      </c>
      <c r="E187" t="n">
        <v>4191</v>
      </c>
      <c r="F187" t="n">
        <v>11</v>
      </c>
      <c r="G187" t="n">
        <v>10</v>
      </c>
      <c r="H187" t="n">
        <v>5</v>
      </c>
      <c r="I187" t="n">
        <v>11</v>
      </c>
      <c r="J187" t="n">
        <v>10</v>
      </c>
    </row>
    <row r="188">
      <c r="A188" s="4" t="n">
        <v>46272</v>
      </c>
      <c r="B188" t="inlineStr">
        <is>
          <t>Facebook</t>
        </is>
      </c>
      <c r="C188" t="n">
        <v>33.70637119113574</v>
      </c>
      <c r="D188" t="n">
        <v>366</v>
      </c>
      <c r="E188" t="n">
        <v>8596</v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</row>
    <row r="189">
      <c r="A189" s="4" t="n">
        <v>46272</v>
      </c>
      <c r="B189" t="inlineStr">
        <is>
          <t>Нет метки</t>
        </is>
      </c>
      <c r="C189" t="n">
        <v/>
      </c>
      <c r="D189" t="n">
        <v/>
      </c>
      <c r="E189" t="n">
        <v/>
      </c>
      <c r="F189" t="n">
        <v>4</v>
      </c>
      <c r="G189" t="n">
        <v>0</v>
      </c>
      <c r="H189" t="n">
        <v>1</v>
      </c>
      <c r="I189" t="n">
        <v>4</v>
      </c>
      <c r="J189" t="n">
        <v>0</v>
      </c>
    </row>
    <row r="190">
      <c r="A190" s="4" t="n">
        <v>46272</v>
      </c>
      <c r="B190" t="inlineStr">
        <is>
          <t>Телефон</t>
        </is>
      </c>
      <c r="C190" t="n">
        <v/>
      </c>
      <c r="D190" t="n">
        <v/>
      </c>
      <c r="E190" t="n">
        <v/>
      </c>
      <c r="F190" t="n">
        <v>9</v>
      </c>
      <c r="G190" t="n">
        <v>9</v>
      </c>
      <c r="H190" t="n">
        <v>4</v>
      </c>
      <c r="I190" t="n">
        <v>0</v>
      </c>
      <c r="J190" t="n">
        <v>0</v>
      </c>
    </row>
    <row r="191">
      <c r="A191" s="4" t="n">
        <v>46272</v>
      </c>
      <c r="B191" t="inlineStr">
        <is>
          <t>Прочее</t>
        </is>
      </c>
      <c r="C191" t="n">
        <v/>
      </c>
      <c r="D191" t="n">
        <v/>
      </c>
      <c r="E191" t="n">
        <v/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s="4" t="n">
        <v>46273</v>
      </c>
      <c r="B192" t="inlineStr">
        <is>
          <t>Google Ads</t>
        </is>
      </c>
      <c r="C192" t="n">
        <v>133.896272</v>
      </c>
      <c r="D192" t="n">
        <v>374</v>
      </c>
      <c r="E192" t="n">
        <v>5811</v>
      </c>
      <c r="F192" t="n">
        <v>10</v>
      </c>
      <c r="G192" t="n">
        <v>8</v>
      </c>
      <c r="H192" t="n">
        <v>6</v>
      </c>
      <c r="I192" t="n">
        <v>12</v>
      </c>
      <c r="J192" t="n">
        <v>8</v>
      </c>
    </row>
    <row r="193">
      <c r="A193" s="4" t="n">
        <v>46273</v>
      </c>
      <c r="B193" t="inlineStr">
        <is>
          <t>Facebook</t>
        </is>
      </c>
      <c r="C193" t="n">
        <v>25.32409972299169</v>
      </c>
      <c r="D193" t="n">
        <v>252</v>
      </c>
      <c r="E193" t="n">
        <v>5983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</row>
    <row r="194">
      <c r="A194" s="4" t="n">
        <v>46273</v>
      </c>
      <c r="B194" t="inlineStr">
        <is>
          <t>Нет метки</t>
        </is>
      </c>
      <c r="C194" t="n">
        <v/>
      </c>
      <c r="D194" t="n">
        <v/>
      </c>
      <c r="E194" t="n">
        <v/>
      </c>
      <c r="F194" t="n">
        <v>1</v>
      </c>
      <c r="G194" t="n">
        <v>0</v>
      </c>
      <c r="H194" t="n">
        <v>2</v>
      </c>
      <c r="I194" t="n">
        <v>0</v>
      </c>
      <c r="J194" t="n">
        <v>0</v>
      </c>
    </row>
    <row r="195">
      <c r="A195" s="4" t="n">
        <v>46273</v>
      </c>
      <c r="B195" t="inlineStr">
        <is>
          <t>Телефон</t>
        </is>
      </c>
      <c r="C195" t="n">
        <v/>
      </c>
      <c r="D195" t="n">
        <v/>
      </c>
      <c r="E195" t="n">
        <v/>
      </c>
      <c r="F195" t="n">
        <v>7</v>
      </c>
      <c r="G195" t="n">
        <v>7</v>
      </c>
      <c r="H195" t="n">
        <v>1</v>
      </c>
      <c r="I195" t="n">
        <v>0</v>
      </c>
      <c r="J195" t="n">
        <v>0</v>
      </c>
    </row>
    <row r="196">
      <c r="A196" s="4" t="n">
        <v>46273</v>
      </c>
      <c r="B196" t="inlineStr">
        <is>
          <t>Прочее</t>
        </is>
      </c>
      <c r="C196" t="n">
        <v/>
      </c>
      <c r="D196" t="n">
        <v/>
      </c>
      <c r="E196" t="n">
        <v/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s="4" t="n">
        <v>46274</v>
      </c>
      <c r="B197" t="inlineStr">
        <is>
          <t>Google Ads</t>
        </is>
      </c>
      <c r="C197" t="n">
        <v>254.893652</v>
      </c>
      <c r="D197" t="n">
        <v>2094</v>
      </c>
      <c r="E197" t="n">
        <v>66700</v>
      </c>
      <c r="F197" t="n">
        <v>5</v>
      </c>
      <c r="G197" t="n">
        <v>4</v>
      </c>
      <c r="H197" t="n">
        <v>1</v>
      </c>
      <c r="I197" t="n">
        <v>5</v>
      </c>
      <c r="J197" t="n">
        <v>3</v>
      </c>
    </row>
    <row r="198">
      <c r="A198" s="4" t="n">
        <v>46274</v>
      </c>
      <c r="B198" t="inlineStr">
        <is>
          <t>Facebook</t>
        </is>
      </c>
      <c r="C198" t="n">
        <v>23.59002770083103</v>
      </c>
      <c r="D198" t="n">
        <v>220</v>
      </c>
      <c r="E198" t="n">
        <v>5677</v>
      </c>
      <c r="F198" t="n">
        <v>3</v>
      </c>
      <c r="G198" t="n">
        <v>2</v>
      </c>
      <c r="H198" t="n">
        <v>2</v>
      </c>
      <c r="I198" t="n">
        <v>3</v>
      </c>
      <c r="J198" t="n">
        <v>2</v>
      </c>
    </row>
    <row r="199">
      <c r="A199" s="4" t="n">
        <v>46274</v>
      </c>
      <c r="B199" t="inlineStr">
        <is>
          <t>Нет метки</t>
        </is>
      </c>
      <c r="C199" t="n">
        <v/>
      </c>
      <c r="D199" t="n">
        <v/>
      </c>
      <c r="E199" t="n">
        <v/>
      </c>
      <c r="F199" t="n">
        <v>2</v>
      </c>
      <c r="G199" t="n">
        <v>1</v>
      </c>
      <c r="H199" t="n">
        <v>2</v>
      </c>
      <c r="I199" t="n">
        <v>0</v>
      </c>
      <c r="J199" t="n">
        <v>0</v>
      </c>
    </row>
    <row r="200">
      <c r="A200" s="4" t="n">
        <v>46274</v>
      </c>
      <c r="B200" t="inlineStr">
        <is>
          <t>Телефон</t>
        </is>
      </c>
      <c r="C200" t="n">
        <v/>
      </c>
      <c r="D200" t="n">
        <v/>
      </c>
      <c r="E200" t="n">
        <v/>
      </c>
      <c r="F200" t="n">
        <v>8</v>
      </c>
      <c r="G200" t="n">
        <v>8</v>
      </c>
      <c r="H200" t="n">
        <v>2</v>
      </c>
      <c r="I200" t="n">
        <v>0</v>
      </c>
      <c r="J200" t="n">
        <v>0</v>
      </c>
    </row>
    <row r="201">
      <c r="A201" s="4" t="n">
        <v>46274</v>
      </c>
      <c r="B201" t="inlineStr">
        <is>
          <t>Прочее</t>
        </is>
      </c>
      <c r="C201" t="n">
        <v/>
      </c>
      <c r="D201" t="n">
        <v/>
      </c>
      <c r="E201" t="n">
        <v/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s="4" t="n">
        <v>46275</v>
      </c>
      <c r="B202" t="inlineStr">
        <is>
          <t>Google Ads</t>
        </is>
      </c>
      <c r="C202" t="n">
        <v>125.193038</v>
      </c>
      <c r="D202" t="n">
        <v>476</v>
      </c>
      <c r="E202" t="n">
        <v>14208</v>
      </c>
      <c r="F202" t="n">
        <v>7</v>
      </c>
      <c r="G202" t="n">
        <v>6</v>
      </c>
      <c r="H202" t="n">
        <v>3</v>
      </c>
      <c r="I202" t="n">
        <v>5</v>
      </c>
      <c r="J202" t="n">
        <v>5</v>
      </c>
    </row>
    <row r="203">
      <c r="A203" s="4" t="n">
        <v>46275</v>
      </c>
      <c r="B203" t="inlineStr">
        <is>
          <t>Facebook</t>
        </is>
      </c>
      <c r="C203" t="n">
        <v>29.79501385041551</v>
      </c>
      <c r="D203" t="n">
        <v>268</v>
      </c>
      <c r="E203" t="n">
        <v>7311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</row>
    <row r="204">
      <c r="A204" s="4" t="n">
        <v>46275</v>
      </c>
      <c r="B204" t="inlineStr">
        <is>
          <t>Нет метки</t>
        </is>
      </c>
      <c r="C204" t="n">
        <v/>
      </c>
      <c r="D204" t="n">
        <v/>
      </c>
      <c r="E204" t="n">
        <v/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</row>
    <row r="205">
      <c r="A205" s="4" t="n">
        <v>46275</v>
      </c>
      <c r="B205" t="inlineStr">
        <is>
          <t>Телефон</t>
        </is>
      </c>
      <c r="C205" t="n">
        <v/>
      </c>
      <c r="D205" t="n">
        <v/>
      </c>
      <c r="E205" t="n">
        <v/>
      </c>
      <c r="F205" t="n">
        <v>14</v>
      </c>
      <c r="G205" t="n">
        <v>14</v>
      </c>
      <c r="H205" t="n">
        <v>1</v>
      </c>
      <c r="I205" t="n">
        <v>0</v>
      </c>
      <c r="J205" t="n">
        <v>0</v>
      </c>
    </row>
    <row r="206">
      <c r="A206" s="4" t="n">
        <v>46275</v>
      </c>
      <c r="B206" t="inlineStr">
        <is>
          <t>Прочее</t>
        </is>
      </c>
      <c r="C206" t="n">
        <v/>
      </c>
      <c r="D206" t="n">
        <v/>
      </c>
      <c r="E206" t="n">
        <v/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s="4" t="n">
        <v>46276</v>
      </c>
      <c r="B207" t="inlineStr">
        <is>
          <t>Google Ads</t>
        </is>
      </c>
      <c r="C207" t="n">
        <v>96.579036</v>
      </c>
      <c r="D207" t="n">
        <v>380</v>
      </c>
      <c r="E207" t="n">
        <v>12171</v>
      </c>
      <c r="F207" t="n">
        <v>2</v>
      </c>
      <c r="G207" t="n">
        <v>2</v>
      </c>
      <c r="H207" t="n">
        <v>2</v>
      </c>
      <c r="I207" t="n">
        <v>3</v>
      </c>
      <c r="J207" t="n">
        <v>2</v>
      </c>
    </row>
    <row r="208">
      <c r="A208" s="4" t="n">
        <v>46276</v>
      </c>
      <c r="B208" t="inlineStr">
        <is>
          <t>Facebook</t>
        </is>
      </c>
      <c r="C208" t="n">
        <v>39.46537396121884</v>
      </c>
      <c r="D208" t="n">
        <v>289</v>
      </c>
      <c r="E208" t="n">
        <v>7129</v>
      </c>
      <c r="F208" t="n">
        <v>1</v>
      </c>
      <c r="G208" t="n">
        <v>1</v>
      </c>
      <c r="H208" t="n">
        <v>0</v>
      </c>
      <c r="I208" t="n">
        <v>2</v>
      </c>
      <c r="J208" t="n">
        <v>1</v>
      </c>
    </row>
    <row r="209">
      <c r="A209" s="4" t="n">
        <v>46276</v>
      </c>
      <c r="B209" t="inlineStr">
        <is>
          <t>Нет метки</t>
        </is>
      </c>
      <c r="C209" t="n">
        <v/>
      </c>
      <c r="D209" t="n">
        <v/>
      </c>
      <c r="E209" t="n">
        <v/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</row>
    <row r="210">
      <c r="A210" s="4" t="n">
        <v>46276</v>
      </c>
      <c r="B210" t="inlineStr">
        <is>
          <t>Телефон</t>
        </is>
      </c>
      <c r="C210" t="n">
        <v/>
      </c>
      <c r="D210" t="n">
        <v/>
      </c>
      <c r="E210" t="n">
        <v/>
      </c>
      <c r="F210" t="n">
        <v>8</v>
      </c>
      <c r="G210" t="n">
        <v>8</v>
      </c>
      <c r="H210" t="n">
        <v>1</v>
      </c>
      <c r="I210" t="n">
        <v>0</v>
      </c>
      <c r="J210" t="n">
        <v>0</v>
      </c>
    </row>
    <row r="211">
      <c r="A211" s="4" t="n">
        <v>46276</v>
      </c>
      <c r="B211" t="inlineStr">
        <is>
          <t>Прочее</t>
        </is>
      </c>
      <c r="C211" t="n">
        <v/>
      </c>
      <c r="D211" t="n">
        <v/>
      </c>
      <c r="E211" t="n">
        <v/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s="4" t="n">
        <v>46277</v>
      </c>
      <c r="B212" t="inlineStr">
        <is>
          <t>Google Ads</t>
        </is>
      </c>
      <c r="C212" t="n">
        <v>46.944641</v>
      </c>
      <c r="D212" t="n">
        <v>107</v>
      </c>
      <c r="E212" t="n">
        <v>1197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</row>
    <row r="213">
      <c r="A213" s="4" t="n">
        <v>46277</v>
      </c>
      <c r="B213" t="inlineStr">
        <is>
          <t>Facebook</t>
        </is>
      </c>
      <c r="C213" t="n">
        <v>28.36565096952909</v>
      </c>
      <c r="D213" t="n">
        <v>195</v>
      </c>
      <c r="E213" t="n">
        <v>4410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s="4" t="n">
        <v>46277</v>
      </c>
      <c r="B214" t="inlineStr">
        <is>
          <t>Нет метки</t>
        </is>
      </c>
      <c r="C214" t="n">
        <v/>
      </c>
      <c r="D214" t="n">
        <v/>
      </c>
      <c r="E214" t="n">
        <v/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</row>
    <row r="215">
      <c r="A215" s="4" t="n">
        <v>46277</v>
      </c>
      <c r="B215" t="inlineStr">
        <is>
          <t>Телефон</t>
        </is>
      </c>
      <c r="C215" t="n">
        <v/>
      </c>
      <c r="D215" t="n">
        <v/>
      </c>
      <c r="E215" t="n">
        <v/>
      </c>
      <c r="F215" t="n">
        <v>3</v>
      </c>
      <c r="G215" t="n">
        <v>3</v>
      </c>
      <c r="H215" t="n">
        <v>0</v>
      </c>
      <c r="I215" t="n">
        <v>0</v>
      </c>
      <c r="J215" t="n">
        <v>0</v>
      </c>
    </row>
    <row r="216">
      <c r="A216" s="4" t="n">
        <v>46277</v>
      </c>
      <c r="B216" t="inlineStr">
        <is>
          <t>Прочее</t>
        </is>
      </c>
      <c r="C216" t="n">
        <v/>
      </c>
      <c r="D216" t="n">
        <v/>
      </c>
      <c r="E216" t="n">
        <v/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s="4" t="n">
        <v>46278</v>
      </c>
      <c r="B217" t="inlineStr">
        <is>
          <t>Google Ads</t>
        </is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</row>
    <row r="218">
      <c r="A218" s="4" t="n">
        <v>46278</v>
      </c>
      <c r="B218" t="inlineStr">
        <is>
          <t>Facebook</t>
        </is>
      </c>
      <c r="C218" t="n">
        <v>42.80332409972299</v>
      </c>
      <c r="D218" t="n">
        <v>342</v>
      </c>
      <c r="E218" t="n">
        <v>6971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</row>
    <row r="219">
      <c r="A219" s="4" t="n">
        <v>46278</v>
      </c>
      <c r="B219" t="inlineStr">
        <is>
          <t>Нет метки</t>
        </is>
      </c>
      <c r="C219" t="n">
        <v/>
      </c>
      <c r="D219" t="n">
        <v/>
      </c>
      <c r="E219" t="n">
        <v/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</row>
    <row r="220">
      <c r="A220" s="4" t="n">
        <v>46278</v>
      </c>
      <c r="B220" t="inlineStr">
        <is>
          <t>Телефон</t>
        </is>
      </c>
      <c r="C220" t="n">
        <v/>
      </c>
      <c r="D220" t="n">
        <v/>
      </c>
      <c r="E220" t="n">
        <v/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s="4" t="n">
        <v>46278</v>
      </c>
      <c r="B221" t="inlineStr">
        <is>
          <t>Прочее</t>
        </is>
      </c>
      <c r="C221" t="n">
        <v/>
      </c>
      <c r="D221" t="n">
        <v/>
      </c>
      <c r="E221" t="n">
        <v/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s="4" t="n">
        <v>46279</v>
      </c>
      <c r="B222" t="inlineStr">
        <is>
          <t>Google Ads</t>
        </is>
      </c>
      <c r="C222" t="n">
        <v>213.722536</v>
      </c>
      <c r="D222" t="n">
        <v>2582</v>
      </c>
      <c r="E222" t="n">
        <v>88617</v>
      </c>
      <c r="F222" t="n">
        <v>11</v>
      </c>
      <c r="G222" t="n">
        <v>10</v>
      </c>
      <c r="H222" t="n">
        <v>5</v>
      </c>
      <c r="I222" t="n">
        <v>11</v>
      </c>
      <c r="J222" t="n">
        <v>10</v>
      </c>
    </row>
    <row r="223">
      <c r="A223" s="4" t="n">
        <v>46279</v>
      </c>
      <c r="B223" t="inlineStr">
        <is>
          <t>Facebook</t>
        </is>
      </c>
      <c r="C223" t="n">
        <v>24.9584487534626</v>
      </c>
      <c r="D223" t="n">
        <v>287</v>
      </c>
      <c r="E223" t="n">
        <v>4656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</row>
    <row r="224">
      <c r="A224" s="4" t="n">
        <v>46279</v>
      </c>
      <c r="B224" t="inlineStr">
        <is>
          <t>Нет метки</t>
        </is>
      </c>
      <c r="C224" t="n">
        <v/>
      </c>
      <c r="D224" t="n">
        <v/>
      </c>
      <c r="E224" t="n">
        <v/>
      </c>
      <c r="F224" t="n">
        <v>2</v>
      </c>
      <c r="G224" t="n">
        <v>1</v>
      </c>
      <c r="H224" t="n">
        <v>5</v>
      </c>
      <c r="I224" t="n">
        <v>0</v>
      </c>
      <c r="J224" t="n">
        <v>0</v>
      </c>
    </row>
    <row r="225">
      <c r="A225" s="4" t="n">
        <v>46279</v>
      </c>
      <c r="B225" t="inlineStr">
        <is>
          <t>Телефон</t>
        </is>
      </c>
      <c r="C225" t="n">
        <v/>
      </c>
      <c r="D225" t="n">
        <v/>
      </c>
      <c r="E225" t="n">
        <v/>
      </c>
      <c r="F225" t="n">
        <v>3</v>
      </c>
      <c r="G225" t="n">
        <v>3</v>
      </c>
      <c r="H225" t="n">
        <v>2</v>
      </c>
      <c r="I225" t="n">
        <v>0</v>
      </c>
      <c r="J225" t="n">
        <v>0</v>
      </c>
    </row>
    <row r="226">
      <c r="A226" s="4" t="n">
        <v>46279</v>
      </c>
      <c r="B226" t="inlineStr">
        <is>
          <t>Прочее</t>
        </is>
      </c>
      <c r="C226" t="n">
        <v/>
      </c>
      <c r="D226" t="n">
        <v/>
      </c>
      <c r="E226" t="n">
        <v/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s="4" t="n">
        <v>46280</v>
      </c>
      <c r="B227" t="inlineStr">
        <is>
          <t>Google Ads</t>
        </is>
      </c>
      <c r="C227" t="n">
        <v>268.266759</v>
      </c>
      <c r="D227" t="n">
        <v>5152</v>
      </c>
      <c r="E227" t="n">
        <v>162733</v>
      </c>
      <c r="F227" t="n">
        <v>3</v>
      </c>
      <c r="G227" t="n">
        <v>1</v>
      </c>
      <c r="H227" t="n">
        <v>2</v>
      </c>
      <c r="I227" t="n">
        <v>4</v>
      </c>
      <c r="J227" t="n">
        <v>1</v>
      </c>
    </row>
    <row r="228">
      <c r="A228" s="4" t="n">
        <v>46280</v>
      </c>
      <c r="B228" t="inlineStr">
        <is>
          <t>Facebook</t>
        </is>
      </c>
      <c r="C228" t="n">
        <v>30.25207756232687</v>
      </c>
      <c r="D228" t="n">
        <v>335</v>
      </c>
      <c r="E228" t="n">
        <v>6615</v>
      </c>
      <c r="F228" t="n">
        <v>2</v>
      </c>
      <c r="G228" t="n">
        <v>1</v>
      </c>
      <c r="H228" t="n">
        <v>1</v>
      </c>
      <c r="I228" t="n">
        <v>2</v>
      </c>
      <c r="J228" t="n">
        <v>1</v>
      </c>
    </row>
    <row r="229">
      <c r="A229" s="4" t="n">
        <v>46280</v>
      </c>
      <c r="B229" t="inlineStr">
        <is>
          <t>Нет метки</t>
        </is>
      </c>
      <c r="C229" t="n">
        <v/>
      </c>
      <c r="D229" t="n">
        <v/>
      </c>
      <c r="E229" t="n">
        <v/>
      </c>
      <c r="F229" t="n">
        <v>6</v>
      </c>
      <c r="G229" t="n">
        <v>4</v>
      </c>
      <c r="H229" t="n">
        <v>0</v>
      </c>
      <c r="I229" t="n">
        <v>0</v>
      </c>
      <c r="J229" t="n">
        <v>0</v>
      </c>
    </row>
    <row r="230">
      <c r="A230" s="4" t="n">
        <v>46280</v>
      </c>
      <c r="B230" t="inlineStr">
        <is>
          <t>Телефон</t>
        </is>
      </c>
      <c r="C230" t="n">
        <v/>
      </c>
      <c r="D230" t="n">
        <v/>
      </c>
      <c r="E230" t="n">
        <v/>
      </c>
      <c r="F230" t="n">
        <v>10</v>
      </c>
      <c r="G230" t="n">
        <v>10</v>
      </c>
      <c r="H230" t="n">
        <v>3</v>
      </c>
      <c r="I230" t="n">
        <v>0</v>
      </c>
      <c r="J230" t="n">
        <v>0</v>
      </c>
    </row>
    <row r="231">
      <c r="A231" s="4" t="n">
        <v>46280</v>
      </c>
      <c r="B231" t="inlineStr">
        <is>
          <t>Прочее</t>
        </is>
      </c>
      <c r="C231" t="n">
        <v/>
      </c>
      <c r="D231" t="n">
        <v/>
      </c>
      <c r="E231" t="n">
        <v/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s="4" t="n">
        <v>46281</v>
      </c>
      <c r="B232" t="inlineStr">
        <is>
          <t>Google Ads</t>
        </is>
      </c>
      <c r="C232" t="n">
        <v>306.246976</v>
      </c>
      <c r="D232" t="n">
        <v>5033</v>
      </c>
      <c r="E232" t="n">
        <v>134633</v>
      </c>
      <c r="F232" t="n">
        <v>5</v>
      </c>
      <c r="G232" t="n">
        <v>5</v>
      </c>
      <c r="H232" t="n">
        <v>2</v>
      </c>
      <c r="I232" t="n">
        <v>5</v>
      </c>
      <c r="J232" t="n">
        <v>5</v>
      </c>
    </row>
    <row r="233">
      <c r="A233" s="4" t="n">
        <v>46281</v>
      </c>
      <c r="B233" t="inlineStr">
        <is>
          <t>Facebook</t>
        </is>
      </c>
      <c r="C233" t="n">
        <v>29.57617728531856</v>
      </c>
      <c r="D233" t="n">
        <v>274</v>
      </c>
      <c r="E233" t="n">
        <v>5862</v>
      </c>
      <c r="F233" t="n">
        <v>4</v>
      </c>
      <c r="G233" t="n">
        <v>4</v>
      </c>
      <c r="H233" t="n">
        <v>0</v>
      </c>
      <c r="I233" t="n">
        <v>4</v>
      </c>
      <c r="J233" t="n">
        <v>3</v>
      </c>
    </row>
    <row r="234">
      <c r="A234" s="4" t="n">
        <v>46281</v>
      </c>
      <c r="B234" t="inlineStr">
        <is>
          <t>Нет метки</t>
        </is>
      </c>
      <c r="C234" t="n">
        <v/>
      </c>
      <c r="D234" t="n">
        <v/>
      </c>
      <c r="E234" t="n">
        <v/>
      </c>
      <c r="F234" t="n">
        <v>9</v>
      </c>
      <c r="G234" t="n">
        <v>8</v>
      </c>
      <c r="H234" t="n">
        <v>1</v>
      </c>
      <c r="I234" t="n">
        <v>0</v>
      </c>
      <c r="J234" t="n">
        <v>0</v>
      </c>
    </row>
    <row r="235">
      <c r="A235" s="4" t="n">
        <v>46281</v>
      </c>
      <c r="B235" t="inlineStr">
        <is>
          <t>Телефон</t>
        </is>
      </c>
      <c r="C235" t="n">
        <v/>
      </c>
      <c r="D235" t="n">
        <v/>
      </c>
      <c r="E235" t="n">
        <v/>
      </c>
      <c r="F235" t="n">
        <v>9</v>
      </c>
      <c r="G235" t="n">
        <v>9</v>
      </c>
      <c r="H235" t="n">
        <v>1</v>
      </c>
      <c r="I235" t="n">
        <v>0</v>
      </c>
      <c r="J235" t="n">
        <v>0</v>
      </c>
    </row>
    <row r="236">
      <c r="A236" s="4" t="n">
        <v>46281</v>
      </c>
      <c r="B236" t="inlineStr">
        <is>
          <t>Прочее</t>
        </is>
      </c>
      <c r="C236" t="n">
        <v/>
      </c>
      <c r="D236" t="n">
        <v/>
      </c>
      <c r="E236" t="n">
        <v/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s="4" t="n">
        <v>46282</v>
      </c>
      <c r="B237" t="inlineStr">
        <is>
          <t>Google Ads</t>
        </is>
      </c>
      <c r="C237" t="n">
        <v>244.673476</v>
      </c>
      <c r="D237" t="n">
        <v>3773</v>
      </c>
      <c r="E237" t="n">
        <v>88470</v>
      </c>
      <c r="F237" t="n">
        <v>7</v>
      </c>
      <c r="G237" t="n">
        <v>5</v>
      </c>
      <c r="H237" t="n">
        <v>5</v>
      </c>
      <c r="I237" t="n">
        <v>9</v>
      </c>
      <c r="J237" t="n">
        <v>5</v>
      </c>
    </row>
    <row r="238">
      <c r="A238" s="4" t="n">
        <v>46282</v>
      </c>
      <c r="B238" t="inlineStr">
        <is>
          <t>Facebook</t>
        </is>
      </c>
      <c r="C238" t="n">
        <v>32.09418282548476</v>
      </c>
      <c r="D238" t="n">
        <v>343</v>
      </c>
      <c r="E238" t="n">
        <v>6966</v>
      </c>
      <c r="F238" t="n">
        <v>0</v>
      </c>
      <c r="G238" t="n">
        <v>0</v>
      </c>
      <c r="H238" t="n">
        <v>3</v>
      </c>
      <c r="I238" t="n">
        <v>0</v>
      </c>
      <c r="J238" t="n">
        <v>0</v>
      </c>
    </row>
    <row r="239">
      <c r="A239" s="4" t="n">
        <v>46282</v>
      </c>
      <c r="B239" t="inlineStr">
        <is>
          <t>Нет метки</t>
        </is>
      </c>
      <c r="C239" t="n">
        <v/>
      </c>
      <c r="D239" t="n">
        <v/>
      </c>
      <c r="E239" t="n">
        <v/>
      </c>
      <c r="F239" t="n">
        <v>8</v>
      </c>
      <c r="G239" t="n">
        <v>3</v>
      </c>
      <c r="H239" t="n">
        <v>2</v>
      </c>
      <c r="I239" t="n">
        <v>1</v>
      </c>
      <c r="J239" t="n">
        <v>0</v>
      </c>
    </row>
    <row r="240">
      <c r="A240" s="4" t="n">
        <v>46282</v>
      </c>
      <c r="B240" t="inlineStr">
        <is>
          <t>Телефон</t>
        </is>
      </c>
      <c r="C240" t="n">
        <v/>
      </c>
      <c r="D240" t="n">
        <v/>
      </c>
      <c r="E240" t="n">
        <v/>
      </c>
      <c r="F240" t="n">
        <v>9</v>
      </c>
      <c r="G240" t="n">
        <v>9</v>
      </c>
      <c r="H240" t="n">
        <v>2</v>
      </c>
      <c r="I240" t="n">
        <v>0</v>
      </c>
      <c r="J240" t="n">
        <v>0</v>
      </c>
    </row>
    <row r="241">
      <c r="A241" s="4" t="n">
        <v>46282</v>
      </c>
      <c r="B241" t="inlineStr">
        <is>
          <t>Прочее</t>
        </is>
      </c>
      <c r="C241" t="n">
        <v/>
      </c>
      <c r="D241" t="n">
        <v/>
      </c>
      <c r="E241" t="n">
        <v/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s="4" t="n">
        <v>46283</v>
      </c>
      <c r="B242" t="inlineStr">
        <is>
          <t>Google Ads</t>
        </is>
      </c>
      <c r="C242" t="n">
        <v>174.623734</v>
      </c>
      <c r="D242" t="n">
        <v>1570</v>
      </c>
      <c r="E242" t="n">
        <v>40513</v>
      </c>
      <c r="F242" t="n">
        <v>2</v>
      </c>
      <c r="G242" t="n">
        <v>2</v>
      </c>
      <c r="H242" t="n">
        <v>1</v>
      </c>
      <c r="I242" t="n">
        <v>3</v>
      </c>
      <c r="J242" t="n">
        <v>2</v>
      </c>
    </row>
    <row r="243">
      <c r="A243" s="4" t="n">
        <v>46283</v>
      </c>
      <c r="B243" t="inlineStr">
        <is>
          <t>Facebook</t>
        </is>
      </c>
      <c r="C243" t="n">
        <v>28.94459833795014</v>
      </c>
      <c r="D243" t="n">
        <v>259</v>
      </c>
      <c r="E243" t="n">
        <v>6062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</row>
    <row r="244">
      <c r="A244" s="4" t="n">
        <v>46283</v>
      </c>
      <c r="B244" t="inlineStr">
        <is>
          <t>Нет метки</t>
        </is>
      </c>
      <c r="C244" t="n">
        <v/>
      </c>
      <c r="D244" t="n">
        <v/>
      </c>
      <c r="E244" t="n">
        <v/>
      </c>
      <c r="F244" t="n">
        <v>2</v>
      </c>
      <c r="G244" t="n">
        <v>1</v>
      </c>
      <c r="H244" t="n">
        <v>1</v>
      </c>
      <c r="I244" t="n">
        <v>0</v>
      </c>
      <c r="J244" t="n">
        <v>0</v>
      </c>
    </row>
    <row r="245">
      <c r="A245" s="4" t="n">
        <v>46283</v>
      </c>
      <c r="B245" t="inlineStr">
        <is>
          <t>Телефон</t>
        </is>
      </c>
      <c r="C245" t="n">
        <v/>
      </c>
      <c r="D245" t="n">
        <v/>
      </c>
      <c r="E245" t="n">
        <v/>
      </c>
      <c r="F245" t="n">
        <v>8</v>
      </c>
      <c r="G245" t="n">
        <v>8</v>
      </c>
      <c r="H245" t="n">
        <v>2</v>
      </c>
      <c r="I245" t="n">
        <v>0</v>
      </c>
      <c r="J245" t="n">
        <v>0</v>
      </c>
    </row>
    <row r="246">
      <c r="A246" s="4" t="n">
        <v>46283</v>
      </c>
      <c r="B246" t="inlineStr">
        <is>
          <t>Прочее</t>
        </is>
      </c>
      <c r="C246" t="n">
        <v/>
      </c>
      <c r="D246" t="n">
        <v/>
      </c>
      <c r="E246" t="n">
        <v/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s="4" t="n">
        <v>46284</v>
      </c>
      <c r="B247" t="inlineStr">
        <is>
          <t>Google Ads</t>
        </is>
      </c>
      <c r="C247" t="n">
        <v>26.728198</v>
      </c>
      <c r="D247" t="n">
        <v>46</v>
      </c>
      <c r="E247" t="n">
        <v>596</v>
      </c>
      <c r="F247" t="n">
        <v>1</v>
      </c>
      <c r="G247" t="n">
        <v>1</v>
      </c>
      <c r="H247" t="n">
        <v>0</v>
      </c>
      <c r="I247" t="n">
        <v>2</v>
      </c>
      <c r="J247" t="n">
        <v>1</v>
      </c>
    </row>
    <row r="248">
      <c r="A248" s="4" t="n">
        <v>46284</v>
      </c>
      <c r="B248" t="inlineStr">
        <is>
          <t>Facebook</t>
        </is>
      </c>
      <c r="C248" t="n">
        <v>35.0831024930748</v>
      </c>
      <c r="D248" t="n">
        <v>352</v>
      </c>
      <c r="E248" t="n">
        <v>7106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s="4" t="n">
        <v>46284</v>
      </c>
      <c r="B249" t="inlineStr">
        <is>
          <t>Нет метки</t>
        </is>
      </c>
      <c r="C249" t="n">
        <v/>
      </c>
      <c r="D249" t="n">
        <v/>
      </c>
      <c r="E249" t="n">
        <v/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</row>
    <row r="250">
      <c r="A250" s="4" t="n">
        <v>46284</v>
      </c>
      <c r="B250" t="inlineStr">
        <is>
          <t>Телефон</t>
        </is>
      </c>
      <c r="C250" t="n">
        <v/>
      </c>
      <c r="D250" t="n">
        <v/>
      </c>
      <c r="E250" t="n">
        <v/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s="4" t="n">
        <v>46284</v>
      </c>
      <c r="B251" t="inlineStr">
        <is>
          <t>Прочее</t>
        </is>
      </c>
      <c r="C251" t="n">
        <v/>
      </c>
      <c r="D251" t="n">
        <v/>
      </c>
      <c r="E251" t="n">
        <v/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s="4" t="n">
        <v>46285</v>
      </c>
      <c r="B252" t="inlineStr">
        <is>
          <t>Google Ads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</row>
    <row r="253">
      <c r="A253" s="4" t="n">
        <v>46285</v>
      </c>
      <c r="B253" t="inlineStr">
        <is>
          <t>Facebook</t>
        </is>
      </c>
      <c r="C253" t="n">
        <v>37.1606648199446</v>
      </c>
      <c r="D253" t="n">
        <v>373</v>
      </c>
      <c r="E253" t="n">
        <v>7328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s="4" t="n">
        <v>46285</v>
      </c>
      <c r="B254" t="inlineStr">
        <is>
          <t>Нет метки</t>
        </is>
      </c>
      <c r="C254" t="n">
        <v/>
      </c>
      <c r="D254" t="n">
        <v/>
      </c>
      <c r="E254" t="n">
        <v/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s="4" t="n">
        <v>46285</v>
      </c>
      <c r="B255" t="inlineStr">
        <is>
          <t>Телефон</t>
        </is>
      </c>
      <c r="C255" t="n">
        <v/>
      </c>
      <c r="D255" t="n">
        <v/>
      </c>
      <c r="E255" t="n">
        <v/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</row>
    <row r="256">
      <c r="A256" s="4" t="n">
        <v>46285</v>
      </c>
      <c r="B256" t="inlineStr">
        <is>
          <t>Прочее</t>
        </is>
      </c>
      <c r="C256" t="n">
        <v/>
      </c>
      <c r="D256" t="n">
        <v/>
      </c>
      <c r="E256" t="n">
        <v/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s="4" t="n">
        <v>46286</v>
      </c>
      <c r="B257" t="inlineStr">
        <is>
          <t>Google Ads</t>
        </is>
      </c>
      <c r="C257" t="n">
        <v>181.956268</v>
      </c>
      <c r="D257" t="n">
        <v>432</v>
      </c>
      <c r="E257" t="n">
        <v>4971</v>
      </c>
      <c r="F257" t="n">
        <v>9</v>
      </c>
      <c r="G257" t="n">
        <v>8</v>
      </c>
      <c r="H257" t="n">
        <v>6</v>
      </c>
      <c r="I257" t="n">
        <v>11</v>
      </c>
      <c r="J257" t="n">
        <v>8</v>
      </c>
    </row>
    <row r="258">
      <c r="A258" s="4" t="n">
        <v>46286</v>
      </c>
      <c r="B258" t="inlineStr">
        <is>
          <t>Facebook</t>
        </is>
      </c>
      <c r="C258" t="n">
        <v>36.92520775623269</v>
      </c>
      <c r="D258" t="n">
        <v>359</v>
      </c>
      <c r="E258" t="n">
        <v>6434</v>
      </c>
      <c r="F258" t="n">
        <v>3</v>
      </c>
      <c r="G258" t="n">
        <v>3</v>
      </c>
      <c r="H258" t="n">
        <v>0</v>
      </c>
      <c r="I258" t="n">
        <v>3</v>
      </c>
      <c r="J258" t="n">
        <v>3</v>
      </c>
    </row>
    <row r="259">
      <c r="A259" s="4" t="n">
        <v>46286</v>
      </c>
      <c r="B259" t="inlineStr">
        <is>
          <t>Нет метки</t>
        </is>
      </c>
      <c r="C259" t="n">
        <v/>
      </c>
      <c r="D259" t="n">
        <v/>
      </c>
      <c r="E259" t="n">
        <v/>
      </c>
      <c r="F259" t="n">
        <v>2</v>
      </c>
      <c r="G259" t="n">
        <v>0</v>
      </c>
      <c r="H259" t="n">
        <v>2</v>
      </c>
      <c r="I259" t="n">
        <v>1</v>
      </c>
      <c r="J259" t="n">
        <v>0</v>
      </c>
    </row>
    <row r="260">
      <c r="A260" s="4" t="n">
        <v>46286</v>
      </c>
      <c r="B260" t="inlineStr">
        <is>
          <t>Телефон</t>
        </is>
      </c>
      <c r="C260" t="n">
        <v/>
      </c>
      <c r="D260" t="n">
        <v/>
      </c>
      <c r="E260" t="n">
        <v/>
      </c>
      <c r="F260" t="n">
        <v>4</v>
      </c>
      <c r="G260" t="n">
        <v>4</v>
      </c>
      <c r="H260" t="n">
        <v>3</v>
      </c>
      <c r="I260" t="n">
        <v>0</v>
      </c>
      <c r="J260" t="n">
        <v>0</v>
      </c>
    </row>
    <row r="261">
      <c r="A261" s="4" t="n">
        <v>46286</v>
      </c>
      <c r="B261" t="inlineStr">
        <is>
          <t>Прочее</t>
        </is>
      </c>
      <c r="C261" t="n">
        <v/>
      </c>
      <c r="D261" t="n">
        <v/>
      </c>
      <c r="E261" t="n">
        <v/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s="4" t="n">
        <v>46287</v>
      </c>
      <c r="B262" t="inlineStr">
        <is>
          <t>Google Ads</t>
        </is>
      </c>
      <c r="C262" t="n">
        <v>278.119862</v>
      </c>
      <c r="D262" t="n">
        <v>2761</v>
      </c>
      <c r="E262" t="n">
        <v>48848</v>
      </c>
      <c r="F262" t="n">
        <v>5</v>
      </c>
      <c r="G262" t="n">
        <v>3</v>
      </c>
      <c r="H262" t="n">
        <v>1</v>
      </c>
      <c r="I262" t="n">
        <v>4</v>
      </c>
      <c r="J262" t="n">
        <v>3</v>
      </c>
    </row>
    <row r="263">
      <c r="A263" s="4" t="n">
        <v>46287</v>
      </c>
      <c r="B263" t="inlineStr">
        <is>
          <t>Facebook</t>
        </is>
      </c>
      <c r="C263" t="n">
        <v>39.9584487534626</v>
      </c>
      <c r="D263" t="n">
        <v>330</v>
      </c>
      <c r="E263" t="n">
        <v>6424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s="4" t="n">
        <v>46287</v>
      </c>
      <c r="B264" t="inlineStr">
        <is>
          <t>Нет метки</t>
        </is>
      </c>
      <c r="C264" t="n">
        <v/>
      </c>
      <c r="D264" t="n">
        <v/>
      </c>
      <c r="E264" t="n">
        <v/>
      </c>
      <c r="F264" t="n">
        <v>2</v>
      </c>
      <c r="G264" t="n">
        <v>1</v>
      </c>
      <c r="H264" t="n">
        <v>1</v>
      </c>
      <c r="I264" t="n">
        <v>0</v>
      </c>
      <c r="J264" t="n">
        <v>0</v>
      </c>
    </row>
    <row r="265">
      <c r="A265" s="4" t="n">
        <v>46287</v>
      </c>
      <c r="B265" t="inlineStr">
        <is>
          <t>Телефон</t>
        </is>
      </c>
      <c r="C265" t="n">
        <v/>
      </c>
      <c r="D265" t="n">
        <v/>
      </c>
      <c r="E265" t="n">
        <v/>
      </c>
      <c r="F265" t="n">
        <v>9</v>
      </c>
      <c r="G265" t="n">
        <v>9</v>
      </c>
      <c r="H265" t="n">
        <v>1</v>
      </c>
      <c r="I265" t="n">
        <v>0</v>
      </c>
      <c r="J265" t="n">
        <v>0</v>
      </c>
    </row>
    <row r="266">
      <c r="A266" s="4" t="n">
        <v>46287</v>
      </c>
      <c r="B266" t="inlineStr">
        <is>
          <t>Прочее</t>
        </is>
      </c>
      <c r="C266" t="n">
        <v/>
      </c>
      <c r="D266" t="n">
        <v/>
      </c>
      <c r="E266" t="n">
        <v/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s="4" t="n">
        <v>46288</v>
      </c>
      <c r="B267" t="inlineStr">
        <is>
          <t>Google Ads</t>
        </is>
      </c>
      <c r="C267" t="n">
        <v>420.26525</v>
      </c>
      <c r="D267" t="n">
        <v>4763</v>
      </c>
      <c r="E267" t="n">
        <v>124811</v>
      </c>
      <c r="F267" t="n">
        <v>6</v>
      </c>
      <c r="G267" t="n">
        <v>5</v>
      </c>
      <c r="H267" t="n">
        <v>7</v>
      </c>
      <c r="I267" t="n">
        <v>6</v>
      </c>
      <c r="J267" t="n">
        <v>5</v>
      </c>
    </row>
    <row r="268">
      <c r="A268" s="4" t="n">
        <v>46288</v>
      </c>
      <c r="B268" t="inlineStr">
        <is>
          <t>Facebook</t>
        </is>
      </c>
      <c r="C268" t="n">
        <v>29.85595567867036</v>
      </c>
      <c r="D268" t="n">
        <v>244</v>
      </c>
      <c r="E268" t="n">
        <v>4677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</row>
    <row r="269">
      <c r="A269" s="4" t="n">
        <v>46288</v>
      </c>
      <c r="B269" t="inlineStr">
        <is>
          <t>Нет метки</t>
        </is>
      </c>
      <c r="C269" t="n">
        <v/>
      </c>
      <c r="D269" t="n">
        <v/>
      </c>
      <c r="E269" t="n">
        <v/>
      </c>
      <c r="F269" t="n">
        <v>2</v>
      </c>
      <c r="G269" t="n">
        <v>1</v>
      </c>
      <c r="H269" t="n">
        <v>2</v>
      </c>
      <c r="I269" t="n">
        <v>1</v>
      </c>
      <c r="J269" t="n">
        <v>0</v>
      </c>
    </row>
    <row r="270">
      <c r="A270" s="4" t="n">
        <v>46288</v>
      </c>
      <c r="B270" t="inlineStr">
        <is>
          <t>Телефон</t>
        </is>
      </c>
      <c r="C270" t="n">
        <v/>
      </c>
      <c r="D270" t="n">
        <v/>
      </c>
      <c r="E270" t="n">
        <v/>
      </c>
      <c r="F270" t="n">
        <v>9</v>
      </c>
      <c r="G270" t="n">
        <v>9</v>
      </c>
      <c r="H270" t="n">
        <v>4</v>
      </c>
      <c r="I270" t="n">
        <v>0</v>
      </c>
      <c r="J270" t="n">
        <v>0</v>
      </c>
    </row>
    <row r="271">
      <c r="A271" s="4" t="n">
        <v>46288</v>
      </c>
      <c r="B271" t="inlineStr">
        <is>
          <t>Прочее</t>
        </is>
      </c>
      <c r="C271" t="n">
        <v/>
      </c>
      <c r="D271" t="n">
        <v/>
      </c>
      <c r="E271" t="n">
        <v/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s="4" t="n">
        <v>46289</v>
      </c>
      <c r="B272" t="inlineStr">
        <is>
          <t>Google Ads</t>
        </is>
      </c>
      <c r="C272" t="n">
        <v>158.803476</v>
      </c>
      <c r="D272" t="n">
        <v>1175</v>
      </c>
      <c r="E272" t="n">
        <v>27938</v>
      </c>
      <c r="F272" t="n">
        <v>7</v>
      </c>
      <c r="G272" t="n">
        <v>7</v>
      </c>
      <c r="H272" t="n">
        <v>3</v>
      </c>
      <c r="I272" t="n">
        <v>6</v>
      </c>
      <c r="J272" t="n">
        <v>6</v>
      </c>
    </row>
    <row r="273">
      <c r="A273" s="4" t="n">
        <v>46289</v>
      </c>
      <c r="B273" t="inlineStr">
        <is>
          <t>Facebook</t>
        </is>
      </c>
      <c r="C273" t="n">
        <v>24.75069252077562</v>
      </c>
      <c r="D273" t="n">
        <v>189</v>
      </c>
      <c r="E273" t="n">
        <v>4175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s="4" t="n">
        <v>46289</v>
      </c>
      <c r="B274" t="inlineStr">
        <is>
          <t>Нет метки</t>
        </is>
      </c>
      <c r="C274" t="n">
        <v/>
      </c>
      <c r="D274" t="n">
        <v/>
      </c>
      <c r="E274" t="n">
        <v/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</row>
    <row r="275">
      <c r="A275" s="4" t="n">
        <v>46289</v>
      </c>
      <c r="B275" t="inlineStr">
        <is>
          <t>Телефон</t>
        </is>
      </c>
      <c r="C275" t="n">
        <v/>
      </c>
      <c r="D275" t="n">
        <v/>
      </c>
      <c r="E275" t="n">
        <v/>
      </c>
      <c r="F275" t="n">
        <v>5</v>
      </c>
      <c r="G275" t="n">
        <v>5</v>
      </c>
      <c r="H275" t="n">
        <v>0</v>
      </c>
      <c r="I275" t="n">
        <v>0</v>
      </c>
      <c r="J275" t="n">
        <v>0</v>
      </c>
    </row>
    <row r="276">
      <c r="A276" s="4" t="n">
        <v>46289</v>
      </c>
      <c r="B276" t="inlineStr">
        <is>
          <t>Прочее</t>
        </is>
      </c>
      <c r="C276" t="n">
        <v/>
      </c>
      <c r="D276" t="n">
        <v/>
      </c>
      <c r="E276" t="n">
        <v/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s="4" t="n">
        <v>46290</v>
      </c>
      <c r="B277" t="inlineStr">
        <is>
          <t>Google Ads</t>
        </is>
      </c>
      <c r="C277" t="n">
        <v>280.236304</v>
      </c>
      <c r="D277" t="n">
        <v>2434</v>
      </c>
      <c r="E277" t="n">
        <v>67434</v>
      </c>
      <c r="F277" t="n">
        <v>3</v>
      </c>
      <c r="G277" t="n">
        <v>3</v>
      </c>
      <c r="H277" t="n">
        <v>0</v>
      </c>
      <c r="I277" t="n">
        <v>3</v>
      </c>
      <c r="J277" t="n">
        <v>3</v>
      </c>
    </row>
    <row r="278">
      <c r="A278" s="4" t="n">
        <v>46290</v>
      </c>
      <c r="B278" t="inlineStr">
        <is>
          <t>Facebook</t>
        </is>
      </c>
      <c r="C278" t="n">
        <v>26.5595567867036</v>
      </c>
      <c r="D278" t="n">
        <v>267</v>
      </c>
      <c r="E278" t="n">
        <v>4665</v>
      </c>
      <c r="F278" t="n">
        <v>3</v>
      </c>
      <c r="G278" t="n">
        <v>3</v>
      </c>
      <c r="H278" t="n">
        <v>1</v>
      </c>
      <c r="I278" t="n">
        <v>3</v>
      </c>
      <c r="J278" t="n">
        <v>3</v>
      </c>
    </row>
    <row r="279">
      <c r="A279" s="4" t="n">
        <v>46290</v>
      </c>
      <c r="B279" t="inlineStr">
        <is>
          <t>Нет метки</t>
        </is>
      </c>
      <c r="C279" t="n">
        <v/>
      </c>
      <c r="D279" t="n">
        <v/>
      </c>
      <c r="E279" t="n">
        <v/>
      </c>
      <c r="F279" t="n">
        <v>2</v>
      </c>
      <c r="G279" t="n">
        <v>2</v>
      </c>
      <c r="H279" t="n">
        <v>0</v>
      </c>
      <c r="I279" t="n">
        <v>0</v>
      </c>
      <c r="J279" t="n">
        <v>0</v>
      </c>
    </row>
    <row r="280">
      <c r="A280" s="4" t="n">
        <v>46290</v>
      </c>
      <c r="B280" t="inlineStr">
        <is>
          <t>Телефон</t>
        </is>
      </c>
      <c r="C280" t="n">
        <v/>
      </c>
      <c r="D280" t="n">
        <v/>
      </c>
      <c r="E280" t="n">
        <v/>
      </c>
      <c r="F280" t="n">
        <v>3</v>
      </c>
      <c r="G280" t="n">
        <v>3</v>
      </c>
      <c r="H280" t="n">
        <v>1</v>
      </c>
      <c r="I280" t="n">
        <v>0</v>
      </c>
      <c r="J280" t="n">
        <v>0</v>
      </c>
    </row>
    <row r="281">
      <c r="A281" s="4" t="n">
        <v>46290</v>
      </c>
      <c r="B281" t="inlineStr">
        <is>
          <t>Прочее</t>
        </is>
      </c>
      <c r="C281" t="n">
        <v/>
      </c>
      <c r="D281" t="n">
        <v/>
      </c>
      <c r="E281" t="n">
        <v/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s="4" t="n">
        <v>46291</v>
      </c>
      <c r="B282" t="inlineStr">
        <is>
          <t>Google Ads</t>
        </is>
      </c>
      <c r="C282" t="n">
        <v>45.536585</v>
      </c>
      <c r="D282" t="n">
        <v>70</v>
      </c>
      <c r="E282" t="n">
        <v>722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</row>
    <row r="283">
      <c r="A283" s="4" t="n">
        <v>46291</v>
      </c>
      <c r="B283" t="inlineStr">
        <is>
          <t>Facebook</t>
        </is>
      </c>
      <c r="C283" t="n">
        <v>32.30193905817175</v>
      </c>
      <c r="D283" t="n">
        <v>302</v>
      </c>
      <c r="E283" t="n">
        <v>5085</v>
      </c>
      <c r="F283" t="n">
        <v>1</v>
      </c>
      <c r="G283" t="n">
        <v>1</v>
      </c>
      <c r="H283" t="n">
        <v>0</v>
      </c>
      <c r="I283" t="n">
        <v>3</v>
      </c>
      <c r="J283" t="n">
        <v>1</v>
      </c>
    </row>
    <row r="284">
      <c r="A284" s="4" t="n">
        <v>46291</v>
      </c>
      <c r="B284" t="inlineStr">
        <is>
          <t>Нет метки</t>
        </is>
      </c>
      <c r="C284" t="n">
        <v/>
      </c>
      <c r="D284" t="n">
        <v/>
      </c>
      <c r="E284" t="n">
        <v/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</row>
    <row r="285">
      <c r="A285" s="4" t="n">
        <v>46291</v>
      </c>
      <c r="B285" t="inlineStr">
        <is>
          <t>Телефон</t>
        </is>
      </c>
      <c r="C285" t="n">
        <v/>
      </c>
      <c r="D285" t="n">
        <v/>
      </c>
      <c r="E285" t="n">
        <v/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s="4" t="n">
        <v>46291</v>
      </c>
      <c r="B286" t="inlineStr">
        <is>
          <t>Прочее</t>
        </is>
      </c>
      <c r="C286" t="n">
        <v/>
      </c>
      <c r="D286" t="n">
        <v/>
      </c>
      <c r="E286" t="n">
        <v/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s="4" t="n">
        <v>46292</v>
      </c>
      <c r="B287" t="inlineStr">
        <is>
          <t>Google Ads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s="4" t="n">
        <v>46292</v>
      </c>
      <c r="B288" t="inlineStr">
        <is>
          <t>Facebook</t>
        </is>
      </c>
      <c r="C288" t="n">
        <v>41.93905817174515</v>
      </c>
      <c r="D288" t="n">
        <v>396</v>
      </c>
      <c r="E288" t="n">
        <v>6161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s="4" t="n">
        <v>46292</v>
      </c>
      <c r="B289" t="inlineStr">
        <is>
          <t>Нет метки</t>
        </is>
      </c>
      <c r="C289" t="n">
        <v/>
      </c>
      <c r="D289" t="n">
        <v/>
      </c>
      <c r="E289" t="n">
        <v/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s="4" t="n">
        <v>46292</v>
      </c>
      <c r="B290" t="inlineStr">
        <is>
          <t>Телефон</t>
        </is>
      </c>
      <c r="C290" t="n">
        <v/>
      </c>
      <c r="D290" t="n">
        <v/>
      </c>
      <c r="E290" t="n">
        <v/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s="4" t="n">
        <v>46292</v>
      </c>
      <c r="B291" t="inlineStr">
        <is>
          <t>Прочее</t>
        </is>
      </c>
      <c r="C291" t="n">
        <v/>
      </c>
      <c r="D291" t="n">
        <v/>
      </c>
      <c r="E291" t="n">
        <v/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s="4" t="n">
        <v>46293</v>
      </c>
      <c r="B292" t="inlineStr">
        <is>
          <t>Google Ads</t>
        </is>
      </c>
      <c r="C292" t="n">
        <v>246.822616</v>
      </c>
      <c r="D292" t="n">
        <v>1729</v>
      </c>
      <c r="E292" t="n">
        <v>41297</v>
      </c>
      <c r="F292" t="n">
        <v>6</v>
      </c>
      <c r="G292" t="n">
        <v>5</v>
      </c>
      <c r="H292" t="n">
        <v>5</v>
      </c>
      <c r="I292" t="n">
        <v>6</v>
      </c>
      <c r="J292" t="n">
        <v>4</v>
      </c>
    </row>
    <row r="293">
      <c r="A293" s="4" t="n">
        <v>46293</v>
      </c>
      <c r="B293" t="inlineStr">
        <is>
          <t>Facebook</t>
        </is>
      </c>
      <c r="C293" t="n">
        <v>27.66481994459834</v>
      </c>
      <c r="D293" t="n">
        <v>274</v>
      </c>
      <c r="E293" t="n">
        <v>4413</v>
      </c>
      <c r="F293" t="n">
        <v>2</v>
      </c>
      <c r="G293" t="n">
        <v>2</v>
      </c>
      <c r="H293" t="n">
        <v>3</v>
      </c>
      <c r="I293" t="n">
        <v>2</v>
      </c>
      <c r="J293" t="n">
        <v>2</v>
      </c>
    </row>
    <row r="294">
      <c r="A294" s="4" t="n">
        <v>46293</v>
      </c>
      <c r="B294" t="inlineStr">
        <is>
          <t>Нет метки</t>
        </is>
      </c>
      <c r="C294" t="n">
        <v/>
      </c>
      <c r="D294" t="n">
        <v/>
      </c>
      <c r="E294" t="n">
        <v/>
      </c>
      <c r="F294" t="n">
        <v>3</v>
      </c>
      <c r="G294" t="n">
        <v>3</v>
      </c>
      <c r="H294" t="n">
        <v>3</v>
      </c>
      <c r="I294" t="n">
        <v>0</v>
      </c>
      <c r="J294" t="n">
        <v>0</v>
      </c>
    </row>
    <row r="295">
      <c r="A295" s="4" t="n">
        <v>46293</v>
      </c>
      <c r="B295" t="inlineStr">
        <is>
          <t>Телефон</t>
        </is>
      </c>
      <c r="C295" t="n">
        <v/>
      </c>
      <c r="D295" t="n">
        <v/>
      </c>
      <c r="E295" t="n">
        <v/>
      </c>
      <c r="F295" t="n">
        <v>7</v>
      </c>
      <c r="G295" t="n">
        <v>7</v>
      </c>
      <c r="H295" t="n">
        <v>5</v>
      </c>
      <c r="I295" t="n">
        <v>0</v>
      </c>
      <c r="J295" t="n">
        <v>0</v>
      </c>
    </row>
    <row r="296">
      <c r="A296" s="4" t="n">
        <v>46293</v>
      </c>
      <c r="B296" t="inlineStr">
        <is>
          <t>Прочее</t>
        </is>
      </c>
      <c r="C296" t="n">
        <v/>
      </c>
      <c r="D296" t="n">
        <v/>
      </c>
      <c r="E296" t="n">
        <v/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s="4" t="n">
        <v>46294</v>
      </c>
      <c r="B297" t="inlineStr">
        <is>
          <t>Google Ads</t>
        </is>
      </c>
      <c r="C297" t="n">
        <v>406.459982</v>
      </c>
      <c r="D297" t="n">
        <v>3213</v>
      </c>
      <c r="E297" t="n">
        <v>104087</v>
      </c>
      <c r="F297" t="n">
        <v>7</v>
      </c>
      <c r="G297" t="n">
        <v>6</v>
      </c>
      <c r="H297" t="n">
        <v>4</v>
      </c>
      <c r="I297" t="n">
        <v>9</v>
      </c>
      <c r="J297" t="n">
        <v>6</v>
      </c>
    </row>
    <row r="298">
      <c r="A298" s="4" t="n">
        <v>46294</v>
      </c>
      <c r="B298" t="inlineStr">
        <is>
          <t>Facebook</t>
        </is>
      </c>
      <c r="C298" t="n">
        <v>23.22991689750693</v>
      </c>
      <c r="D298" t="n">
        <v>217</v>
      </c>
      <c r="E298" t="n">
        <v>4092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</row>
    <row r="299">
      <c r="A299" s="4" t="n">
        <v>46294</v>
      </c>
      <c r="B299" t="inlineStr">
        <is>
          <t>Нет метки</t>
        </is>
      </c>
      <c r="C299" t="n">
        <v/>
      </c>
      <c r="D299" t="n">
        <v/>
      </c>
      <c r="E299" t="n">
        <v/>
      </c>
      <c r="F299" t="n">
        <v>5</v>
      </c>
      <c r="G299" t="n">
        <v>3</v>
      </c>
      <c r="H299" t="n">
        <v>1</v>
      </c>
      <c r="I299" t="n">
        <v>0</v>
      </c>
      <c r="J299" t="n">
        <v>0</v>
      </c>
    </row>
    <row r="300">
      <c r="A300" s="4" t="n">
        <v>46294</v>
      </c>
      <c r="B300" t="inlineStr">
        <is>
          <t>Телефон</t>
        </is>
      </c>
      <c r="C300" t="n">
        <v/>
      </c>
      <c r="D300" t="n">
        <v/>
      </c>
      <c r="E300" t="n">
        <v/>
      </c>
      <c r="F300" t="n">
        <v>7</v>
      </c>
      <c r="G300" t="n">
        <v>7</v>
      </c>
      <c r="H300" t="n">
        <v>0</v>
      </c>
      <c r="I300" t="n">
        <v>0</v>
      </c>
      <c r="J300" t="n">
        <v>0</v>
      </c>
    </row>
    <row r="301">
      <c r="A301" s="4" t="n">
        <v>46294</v>
      </c>
      <c r="B301" t="inlineStr">
        <is>
          <t>Прочее</t>
        </is>
      </c>
      <c r="C301" t="n">
        <v/>
      </c>
      <c r="D301" t="n">
        <v/>
      </c>
      <c r="E301" t="n">
        <v/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s="4" t="n">
        <v>46295</v>
      </c>
      <c r="B302" t="inlineStr">
        <is>
          <t>Google Ads</t>
        </is>
      </c>
      <c r="C302" t="n">
        <v>472.652998</v>
      </c>
      <c r="D302" t="n">
        <v>3563</v>
      </c>
      <c r="E302" t="n">
        <v>119922</v>
      </c>
      <c r="F302" t="n">
        <v>10</v>
      </c>
      <c r="G302" t="n">
        <v>8</v>
      </c>
      <c r="H302" t="n">
        <v>4</v>
      </c>
      <c r="I302" t="n">
        <v>11</v>
      </c>
      <c r="J302" t="n">
        <v>8</v>
      </c>
    </row>
    <row r="303">
      <c r="A303" s="4" t="n">
        <v>46295</v>
      </c>
      <c r="B303" t="inlineStr">
        <is>
          <t>Facebook</t>
        </is>
      </c>
      <c r="C303" t="n">
        <v>32.1218836565097</v>
      </c>
      <c r="D303" t="n">
        <v>295</v>
      </c>
      <c r="E303" t="n">
        <v>6025</v>
      </c>
      <c r="F303" t="n">
        <v>3</v>
      </c>
      <c r="G303" t="n">
        <v>3</v>
      </c>
      <c r="H303" t="n">
        <v>2</v>
      </c>
      <c r="I303" t="n">
        <v>3</v>
      </c>
      <c r="J303" t="n">
        <v>3</v>
      </c>
    </row>
    <row r="304">
      <c r="A304" s="4" t="n">
        <v>46295</v>
      </c>
      <c r="B304" t="inlineStr">
        <is>
          <t>Нет метки</t>
        </is>
      </c>
      <c r="C304" t="n">
        <v/>
      </c>
      <c r="D304" t="n">
        <v/>
      </c>
      <c r="E304" t="n">
        <v/>
      </c>
      <c r="F304" t="n">
        <v>3</v>
      </c>
      <c r="G304" t="n">
        <v>0</v>
      </c>
      <c r="H304" t="n">
        <v>1</v>
      </c>
      <c r="I304" t="n">
        <v>1</v>
      </c>
      <c r="J304" t="n">
        <v>0</v>
      </c>
    </row>
    <row r="305">
      <c r="A305" s="4" t="n">
        <v>46295</v>
      </c>
      <c r="B305" t="inlineStr">
        <is>
          <t>Телефон</t>
        </is>
      </c>
      <c r="C305" t="n">
        <v/>
      </c>
      <c r="D305" t="n">
        <v/>
      </c>
      <c r="E305" t="n">
        <v/>
      </c>
      <c r="F305" t="n">
        <v>6</v>
      </c>
      <c r="G305" t="n">
        <v>6</v>
      </c>
      <c r="H305" t="n">
        <v>3</v>
      </c>
      <c r="I305" t="n">
        <v>0</v>
      </c>
      <c r="J305" t="n">
        <v>0</v>
      </c>
    </row>
    <row r="306">
      <c r="A306" s="4" t="n">
        <v>46295</v>
      </c>
      <c r="B306" t="inlineStr">
        <is>
          <t>Прочее</t>
        </is>
      </c>
      <c r="C306" t="n">
        <v/>
      </c>
      <c r="D306" t="n">
        <v/>
      </c>
      <c r="E306" t="n">
        <v/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s="4" t="n">
        <v>46296</v>
      </c>
      <c r="B307" t="inlineStr">
        <is>
          <t>Google Ads</t>
        </is>
      </c>
      <c r="C307" t="n">
        <v>472.563275</v>
      </c>
      <c r="D307" t="n">
        <v>5434</v>
      </c>
      <c r="E307" t="n">
        <v>265054</v>
      </c>
      <c r="F307" t="n">
        <v>12</v>
      </c>
      <c r="G307" t="n">
        <v>11</v>
      </c>
      <c r="H307" t="n">
        <v>2</v>
      </c>
      <c r="I307" t="n">
        <v>7</v>
      </c>
      <c r="J307" t="n">
        <v>7</v>
      </c>
    </row>
    <row r="308">
      <c r="A308" s="4" t="n">
        <v>46296</v>
      </c>
      <c r="B308" t="inlineStr">
        <is>
          <t>Facebook</t>
        </is>
      </c>
      <c r="C308" t="n">
        <v>35.17451523545706</v>
      </c>
      <c r="D308" t="n">
        <v>308</v>
      </c>
      <c r="E308" t="n">
        <v>7925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s="4" t="n">
        <v>46296</v>
      </c>
      <c r="B309" t="inlineStr">
        <is>
          <t>Нет метки</t>
        </is>
      </c>
      <c r="C309" t="n">
        <v/>
      </c>
      <c r="D309" t="n">
        <v/>
      </c>
      <c r="E309" t="n">
        <v/>
      </c>
      <c r="F309" t="n">
        <v>0</v>
      </c>
      <c r="G309" t="n">
        <v>0</v>
      </c>
      <c r="H309" t="n">
        <v>2</v>
      </c>
      <c r="I309" t="n">
        <v>0</v>
      </c>
      <c r="J309" t="n">
        <v>0</v>
      </c>
    </row>
    <row r="310">
      <c r="A310" s="4" t="n">
        <v>46296</v>
      </c>
      <c r="B310" t="inlineStr">
        <is>
          <t>Телефон</t>
        </is>
      </c>
      <c r="C310" t="n">
        <v/>
      </c>
      <c r="D310" t="n">
        <v/>
      </c>
      <c r="E310" t="n">
        <v/>
      </c>
      <c r="F310" t="n">
        <v>7</v>
      </c>
      <c r="G310" t="n">
        <v>7</v>
      </c>
      <c r="H310" t="n">
        <v>2</v>
      </c>
      <c r="I310" t="n">
        <v>0</v>
      </c>
      <c r="J310" t="n">
        <v>0</v>
      </c>
    </row>
    <row r="311">
      <c r="A311" s="4" t="n">
        <v>46296</v>
      </c>
      <c r="B311" t="inlineStr">
        <is>
          <t>Прочее</t>
        </is>
      </c>
      <c r="C311" t="n">
        <v/>
      </c>
      <c r="D311" t="n">
        <v/>
      </c>
      <c r="E311" t="n">
        <v/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s="4" t="n">
        <v>46297</v>
      </c>
      <c r="B312" t="inlineStr">
        <is>
          <t>Google Ads</t>
        </is>
      </c>
      <c r="C312" t="n">
        <v>142.88461</v>
      </c>
      <c r="D312" t="n">
        <v>1071</v>
      </c>
      <c r="E312" t="n">
        <v>38318</v>
      </c>
      <c r="F312" t="n">
        <v>5</v>
      </c>
      <c r="G312" t="n">
        <v>5</v>
      </c>
      <c r="H312" t="n">
        <v>1</v>
      </c>
      <c r="I312" t="n">
        <v>5</v>
      </c>
      <c r="J312" t="n">
        <v>4</v>
      </c>
    </row>
    <row r="313">
      <c r="A313" s="4" t="n">
        <v>46297</v>
      </c>
      <c r="B313" t="inlineStr">
        <is>
          <t>Facebook</t>
        </is>
      </c>
      <c r="C313" t="n">
        <v>31.83656509695291</v>
      </c>
      <c r="D313" t="n">
        <v>338</v>
      </c>
      <c r="E313" t="n">
        <v>6146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</row>
    <row r="314">
      <c r="A314" s="4" t="n">
        <v>46297</v>
      </c>
      <c r="B314" t="inlineStr">
        <is>
          <t>Нет метки</t>
        </is>
      </c>
      <c r="C314" t="n">
        <v/>
      </c>
      <c r="D314" t="n">
        <v/>
      </c>
      <c r="E314" t="n">
        <v/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s="4" t="n">
        <v>46297</v>
      </c>
      <c r="B315" t="inlineStr">
        <is>
          <t>Телефон</t>
        </is>
      </c>
      <c r="C315" t="n">
        <v/>
      </c>
      <c r="D315" t="n">
        <v/>
      </c>
      <c r="E315" t="n">
        <v/>
      </c>
      <c r="F315" t="n">
        <v>3</v>
      </c>
      <c r="G315" t="n">
        <v>3</v>
      </c>
      <c r="H315" t="n">
        <v>0</v>
      </c>
      <c r="I315" t="n">
        <v>0</v>
      </c>
      <c r="J315" t="n">
        <v>0</v>
      </c>
    </row>
    <row r="316">
      <c r="A316" s="4" t="n">
        <v>46297</v>
      </c>
      <c r="B316" t="inlineStr">
        <is>
          <t>Прочее</t>
        </is>
      </c>
      <c r="C316" t="n">
        <v/>
      </c>
      <c r="D316" t="n">
        <v/>
      </c>
      <c r="E316" t="n">
        <v/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s="4" t="n">
        <v>46298</v>
      </c>
      <c r="B317" t="inlineStr">
        <is>
          <t>Google Ads</t>
        </is>
      </c>
      <c r="C317" t="n">
        <v>5.348426</v>
      </c>
      <c r="D317" t="n">
        <v>8</v>
      </c>
      <c r="E317" t="n">
        <v>28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s="4" t="n">
        <v>46298</v>
      </c>
      <c r="B318" t="inlineStr">
        <is>
          <t>Facebook</t>
        </is>
      </c>
      <c r="C318" t="n">
        <v>31.26869806094183</v>
      </c>
      <c r="D318" t="n">
        <v>345</v>
      </c>
      <c r="E318" t="n">
        <v>6544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s="4" t="n">
        <v>46298</v>
      </c>
      <c r="B319" t="inlineStr">
        <is>
          <t>Нет метки</t>
        </is>
      </c>
      <c r="C319" t="n">
        <v/>
      </c>
      <c r="D319" t="n">
        <v/>
      </c>
      <c r="E319" t="n">
        <v/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s="4" t="n">
        <v>46298</v>
      </c>
      <c r="B320" t="inlineStr">
        <is>
          <t>Телефон</t>
        </is>
      </c>
      <c r="C320" t="n">
        <v/>
      </c>
      <c r="D320" t="n">
        <v/>
      </c>
      <c r="E320" t="n">
        <v/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s="4" t="n">
        <v>46298</v>
      </c>
      <c r="B321" t="inlineStr">
        <is>
          <t>Прочее</t>
        </is>
      </c>
      <c r="C321" t="n">
        <v/>
      </c>
      <c r="D321" t="n">
        <v/>
      </c>
      <c r="E321" t="n">
        <v/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s="4" t="n">
        <v>46299</v>
      </c>
      <c r="B322" t="inlineStr">
        <is>
          <t>Google Ads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s="4" t="n">
        <v>46299</v>
      </c>
      <c r="B323" t="inlineStr">
        <is>
          <t>Facebook</t>
        </is>
      </c>
      <c r="C323" t="n">
        <v>40.80609418282549</v>
      </c>
      <c r="D323" t="n">
        <v>520</v>
      </c>
      <c r="E323" t="n">
        <v>8994</v>
      </c>
      <c r="F323" t="n">
        <v>1</v>
      </c>
      <c r="G323" t="n">
        <v>1</v>
      </c>
      <c r="H323" t="n">
        <v>0</v>
      </c>
      <c r="I323" t="n">
        <v>2</v>
      </c>
      <c r="J323" t="n">
        <v>1</v>
      </c>
    </row>
    <row r="324">
      <c r="A324" s="4" t="n">
        <v>46299</v>
      </c>
      <c r="B324" t="inlineStr">
        <is>
          <t>Нет метки</t>
        </is>
      </c>
      <c r="C324" t="n">
        <v/>
      </c>
      <c r="D324" t="n">
        <v/>
      </c>
      <c r="E324" t="n">
        <v/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</row>
    <row r="325">
      <c r="A325" s="4" t="n">
        <v>46299</v>
      </c>
      <c r="B325" t="inlineStr">
        <is>
          <t>Телефон</t>
        </is>
      </c>
      <c r="C325" t="n">
        <v/>
      </c>
      <c r="D325" t="n">
        <v/>
      </c>
      <c r="E325" t="n">
        <v/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s="4" t="n">
        <v>46299</v>
      </c>
      <c r="B326" t="inlineStr">
        <is>
          <t>Прочее</t>
        </is>
      </c>
      <c r="C326" t="n">
        <v/>
      </c>
      <c r="D326" t="n">
        <v/>
      </c>
      <c r="E326" t="n">
        <v/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s="4" t="n">
        <v>46300</v>
      </c>
      <c r="B327" t="inlineStr">
        <is>
          <t>Google Ads</t>
        </is>
      </c>
      <c r="C327" t="n">
        <v>106.021686</v>
      </c>
      <c r="D327" t="n">
        <v>418</v>
      </c>
      <c r="E327" t="n">
        <v>5593</v>
      </c>
      <c r="F327" t="n">
        <v>5</v>
      </c>
      <c r="G327" t="n">
        <v>5</v>
      </c>
      <c r="H327" t="n">
        <v>6</v>
      </c>
      <c r="I327" t="n">
        <v>7</v>
      </c>
      <c r="J327" t="n">
        <v>5</v>
      </c>
    </row>
    <row r="328">
      <c r="A328" s="4" t="n">
        <v>46300</v>
      </c>
      <c r="B328" t="inlineStr">
        <is>
          <t>Facebook</t>
        </is>
      </c>
      <c r="C328" t="n">
        <v>34.01385041551247</v>
      </c>
      <c r="D328" t="n">
        <v>424</v>
      </c>
      <c r="E328" t="n">
        <v>7257</v>
      </c>
      <c r="F328" t="n">
        <v>2</v>
      </c>
      <c r="G328" t="n">
        <v>0</v>
      </c>
      <c r="H328" t="n">
        <v>0</v>
      </c>
      <c r="I328" t="n">
        <v>2</v>
      </c>
      <c r="J328" t="n">
        <v>0</v>
      </c>
    </row>
    <row r="329">
      <c r="A329" s="4" t="n">
        <v>46300</v>
      </c>
      <c r="B329" t="inlineStr">
        <is>
          <t>Нет метки</t>
        </is>
      </c>
      <c r="C329" t="n">
        <v/>
      </c>
      <c r="D329" t="n">
        <v/>
      </c>
      <c r="E329" t="n">
        <v/>
      </c>
      <c r="F329" t="n">
        <v>6</v>
      </c>
      <c r="G329" t="n">
        <v>3</v>
      </c>
      <c r="H329" t="n">
        <v>4</v>
      </c>
      <c r="I329" t="n">
        <v>0</v>
      </c>
      <c r="J329" t="n">
        <v>0</v>
      </c>
    </row>
    <row r="330">
      <c r="A330" s="4" t="n">
        <v>46300</v>
      </c>
      <c r="B330" t="inlineStr">
        <is>
          <t>Телефон</t>
        </is>
      </c>
      <c r="C330" t="n">
        <v/>
      </c>
      <c r="D330" t="n">
        <v/>
      </c>
      <c r="E330" t="n">
        <v/>
      </c>
      <c r="F330" t="n">
        <v>22</v>
      </c>
      <c r="G330" t="n">
        <v>22</v>
      </c>
      <c r="H330" t="n">
        <v>6</v>
      </c>
      <c r="I330" t="n">
        <v>0</v>
      </c>
      <c r="J330" t="n">
        <v>0</v>
      </c>
    </row>
    <row r="331">
      <c r="A331" s="4" t="n">
        <v>46300</v>
      </c>
      <c r="B331" t="inlineStr">
        <is>
          <t>Прочее</t>
        </is>
      </c>
      <c r="C331" t="n">
        <v/>
      </c>
      <c r="D331" t="n">
        <v/>
      </c>
      <c r="E331" t="n">
        <v/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s="4" t="n">
        <v>46301</v>
      </c>
      <c r="B332" t="inlineStr">
        <is>
          <t>Google Ads</t>
        </is>
      </c>
      <c r="C332" t="n">
        <v>83.565941</v>
      </c>
      <c r="D332" t="n">
        <v>233</v>
      </c>
      <c r="E332" t="n">
        <v>2308</v>
      </c>
      <c r="F332" t="n">
        <v>2</v>
      </c>
      <c r="G332" t="n">
        <v>1</v>
      </c>
      <c r="H332" t="n">
        <v>1</v>
      </c>
      <c r="I332" t="n">
        <v>3</v>
      </c>
      <c r="J332" t="n">
        <v>2</v>
      </c>
    </row>
    <row r="333">
      <c r="A333" s="4" t="n">
        <v>46301</v>
      </c>
      <c r="B333" t="inlineStr">
        <is>
          <t>Facebook</t>
        </is>
      </c>
      <c r="C333" t="n">
        <v>35.22160664819945</v>
      </c>
      <c r="D333" t="n">
        <v>334</v>
      </c>
      <c r="E333" t="n">
        <v>7726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s="4" t="n">
        <v>46301</v>
      </c>
      <c r="B334" t="inlineStr">
        <is>
          <t>Нет метки</t>
        </is>
      </c>
      <c r="C334" t="n">
        <v/>
      </c>
      <c r="D334" t="n">
        <v/>
      </c>
      <c r="E334" t="n">
        <v/>
      </c>
      <c r="F334" t="n">
        <v>2</v>
      </c>
      <c r="G334" t="n">
        <v>1</v>
      </c>
      <c r="H334" t="n">
        <v>2</v>
      </c>
      <c r="I334" t="n">
        <v>1</v>
      </c>
      <c r="J334" t="n">
        <v>0</v>
      </c>
    </row>
    <row r="335">
      <c r="A335" s="4" t="n">
        <v>46301</v>
      </c>
      <c r="B335" t="inlineStr">
        <is>
          <t>Телефон</t>
        </is>
      </c>
      <c r="C335" t="n">
        <v/>
      </c>
      <c r="D335" t="n">
        <v/>
      </c>
      <c r="E335" t="n">
        <v/>
      </c>
      <c r="F335" t="n">
        <v>6</v>
      </c>
      <c r="G335" t="n">
        <v>6</v>
      </c>
      <c r="H335" t="n">
        <v>4</v>
      </c>
      <c r="I335" t="n">
        <v>0</v>
      </c>
      <c r="J335" t="n">
        <v>0</v>
      </c>
    </row>
    <row r="336">
      <c r="A336" s="4" t="n">
        <v>46301</v>
      </c>
      <c r="B336" t="inlineStr">
        <is>
          <t>Прочее</t>
        </is>
      </c>
      <c r="C336" t="n">
        <v/>
      </c>
      <c r="D336" t="n">
        <v/>
      </c>
      <c r="E336" t="n">
        <v/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s="4" t="n">
        <v>46302</v>
      </c>
      <c r="B337" t="inlineStr">
        <is>
          <t>Google Ads</t>
        </is>
      </c>
      <c r="C337" t="n">
        <v>150.147321</v>
      </c>
      <c r="D337" t="n">
        <v>482</v>
      </c>
      <c r="E337" t="n">
        <v>8316</v>
      </c>
      <c r="F337" t="n">
        <v>3</v>
      </c>
      <c r="G337" t="n">
        <v>3</v>
      </c>
      <c r="H337" t="n">
        <v>1</v>
      </c>
      <c r="I337" t="n">
        <v>4</v>
      </c>
      <c r="J337" t="n">
        <v>3</v>
      </c>
    </row>
    <row r="338">
      <c r="A338" s="4" t="n">
        <v>46302</v>
      </c>
      <c r="B338" t="inlineStr">
        <is>
          <t>Facebook</t>
        </is>
      </c>
      <c r="C338" t="n">
        <v>24.81717451523546</v>
      </c>
      <c r="D338" t="n">
        <v>259</v>
      </c>
      <c r="E338" t="n">
        <v>5335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</row>
    <row r="339">
      <c r="A339" s="4" t="n">
        <v>46302</v>
      </c>
      <c r="B339" t="inlineStr">
        <is>
          <t>Нет метки</t>
        </is>
      </c>
      <c r="C339" t="n">
        <v/>
      </c>
      <c r="D339" t="n">
        <v/>
      </c>
      <c r="E339" t="n">
        <v/>
      </c>
      <c r="F339" t="n">
        <v>1</v>
      </c>
      <c r="G339" t="n">
        <v>0</v>
      </c>
      <c r="H339" t="n">
        <v>3</v>
      </c>
      <c r="I339" t="n">
        <v>0</v>
      </c>
      <c r="J339" t="n">
        <v>0</v>
      </c>
    </row>
    <row r="340">
      <c r="A340" s="4" t="n">
        <v>46302</v>
      </c>
      <c r="B340" t="inlineStr">
        <is>
          <t>Телефон</t>
        </is>
      </c>
      <c r="C340" t="n">
        <v/>
      </c>
      <c r="D340" t="n">
        <v/>
      </c>
      <c r="E340" t="n">
        <v/>
      </c>
      <c r="F340" t="n">
        <v>12</v>
      </c>
      <c r="G340" t="n">
        <v>12</v>
      </c>
      <c r="H340" t="n">
        <v>1</v>
      </c>
      <c r="I340" t="n">
        <v>0</v>
      </c>
      <c r="J340" t="n">
        <v>0</v>
      </c>
    </row>
    <row r="341">
      <c r="A341" s="4" t="n">
        <v>46302</v>
      </c>
      <c r="B341" t="inlineStr">
        <is>
          <t>Прочее</t>
        </is>
      </c>
      <c r="C341" t="n">
        <v/>
      </c>
      <c r="D341" t="n">
        <v/>
      </c>
      <c r="E341" t="n">
        <v/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s="4" t="n">
        <v>46303</v>
      </c>
      <c r="B342" t="inlineStr">
        <is>
          <t>Google Ads</t>
        </is>
      </c>
      <c r="C342" t="n">
        <v>236.3385</v>
      </c>
      <c r="D342" t="n">
        <v>1112</v>
      </c>
      <c r="E342" t="n">
        <v>26985</v>
      </c>
      <c r="F342" t="n">
        <v>7</v>
      </c>
      <c r="G342" t="n">
        <v>6</v>
      </c>
      <c r="H342" t="n">
        <v>4</v>
      </c>
      <c r="I342" t="n">
        <v>8</v>
      </c>
      <c r="J342" t="n">
        <v>6</v>
      </c>
    </row>
    <row r="343">
      <c r="A343" s="4" t="n">
        <v>46303</v>
      </c>
      <c r="B343" t="inlineStr">
        <is>
          <t>Facebook</t>
        </is>
      </c>
      <c r="C343" t="n">
        <v>23.98060941828255</v>
      </c>
      <c r="D343" t="n">
        <v>235</v>
      </c>
      <c r="E343" t="n">
        <v>4194</v>
      </c>
      <c r="F343" t="n">
        <v>1</v>
      </c>
      <c r="G343" t="n">
        <v>1</v>
      </c>
      <c r="H343" t="n">
        <v>1</v>
      </c>
      <c r="I343" t="n">
        <v>2</v>
      </c>
      <c r="J343" t="n">
        <v>1</v>
      </c>
    </row>
    <row r="344">
      <c r="A344" s="4" t="n">
        <v>46303</v>
      </c>
      <c r="B344" t="inlineStr">
        <is>
          <t>Нет метки</t>
        </is>
      </c>
      <c r="C344" t="n">
        <v/>
      </c>
      <c r="D344" t="n">
        <v/>
      </c>
      <c r="E344" t="n">
        <v/>
      </c>
      <c r="F344" t="n">
        <v>2</v>
      </c>
      <c r="G344" t="n">
        <v>1</v>
      </c>
      <c r="H344" t="n">
        <v>1</v>
      </c>
      <c r="I344" t="n">
        <v>0</v>
      </c>
      <c r="J344" t="n">
        <v>0</v>
      </c>
    </row>
    <row r="345">
      <c r="A345" s="4" t="n">
        <v>46303</v>
      </c>
      <c r="B345" t="inlineStr">
        <is>
          <t>Телефон</t>
        </is>
      </c>
      <c r="C345" t="n">
        <v/>
      </c>
      <c r="D345" t="n">
        <v/>
      </c>
      <c r="E345" t="n">
        <v/>
      </c>
      <c r="F345" t="n">
        <v>13</v>
      </c>
      <c r="G345" t="n">
        <v>13</v>
      </c>
      <c r="H345" t="n">
        <v>1</v>
      </c>
      <c r="I345" t="n">
        <v>0</v>
      </c>
      <c r="J345" t="n">
        <v>0</v>
      </c>
    </row>
    <row r="346">
      <c r="A346" s="4" t="n">
        <v>46303</v>
      </c>
      <c r="B346" t="inlineStr">
        <is>
          <t>Прочее</t>
        </is>
      </c>
      <c r="C346" t="n">
        <v/>
      </c>
      <c r="D346" t="n">
        <v/>
      </c>
      <c r="E346" t="n">
        <v/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s="4" t="n">
        <v>46304</v>
      </c>
      <c r="B347" t="inlineStr">
        <is>
          <t>Google Ads</t>
        </is>
      </c>
      <c r="C347" t="n">
        <v>368.02615</v>
      </c>
      <c r="D347" t="n">
        <v>2472</v>
      </c>
      <c r="E347" t="n">
        <v>45972</v>
      </c>
      <c r="F347" t="n">
        <v>6</v>
      </c>
      <c r="G347" t="n">
        <v>6</v>
      </c>
      <c r="H347" t="n">
        <v>2</v>
      </c>
      <c r="I347" t="n">
        <v>7</v>
      </c>
      <c r="J347" t="n">
        <v>6</v>
      </c>
    </row>
    <row r="348">
      <c r="A348" s="4" t="n">
        <v>46304</v>
      </c>
      <c r="B348" t="inlineStr">
        <is>
          <t>Facebook</t>
        </is>
      </c>
      <c r="C348" t="n">
        <v>24.08864265927978</v>
      </c>
      <c r="D348" t="n">
        <v>193</v>
      </c>
      <c r="E348" t="n">
        <v>4011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</row>
    <row r="349">
      <c r="A349" s="4" t="n">
        <v>46304</v>
      </c>
      <c r="B349" t="inlineStr">
        <is>
          <t>Нет метки</t>
        </is>
      </c>
      <c r="C349" t="n">
        <v/>
      </c>
      <c r="D349" t="n">
        <v/>
      </c>
      <c r="E349" t="n">
        <v/>
      </c>
      <c r="F349" t="n">
        <v>3</v>
      </c>
      <c r="G349" t="n">
        <v>2</v>
      </c>
      <c r="H349" t="n">
        <v>0</v>
      </c>
      <c r="I349" t="n">
        <v>0</v>
      </c>
      <c r="J349" t="n">
        <v>0</v>
      </c>
    </row>
    <row r="350">
      <c r="A350" s="4" t="n">
        <v>46304</v>
      </c>
      <c r="B350" t="inlineStr">
        <is>
          <t>Телефон</t>
        </is>
      </c>
      <c r="C350" t="n">
        <v/>
      </c>
      <c r="D350" t="n">
        <v/>
      </c>
      <c r="E350" t="n">
        <v/>
      </c>
      <c r="F350" t="n">
        <v>13</v>
      </c>
      <c r="G350" t="n">
        <v>13</v>
      </c>
      <c r="H350" t="n">
        <v>2</v>
      </c>
      <c r="I350" t="n">
        <v>0</v>
      </c>
      <c r="J350" t="n">
        <v>0</v>
      </c>
    </row>
    <row r="351">
      <c r="A351" s="4" t="n">
        <v>46304</v>
      </c>
      <c r="B351" t="inlineStr">
        <is>
          <t>Прочее</t>
        </is>
      </c>
      <c r="C351" t="n">
        <v/>
      </c>
      <c r="D351" t="n">
        <v/>
      </c>
      <c r="E351" t="n">
        <v/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s="4" t="n">
        <v>46305</v>
      </c>
      <c r="B352" t="inlineStr">
        <is>
          <t>Google Ads</t>
        </is>
      </c>
      <c r="C352" t="n">
        <v>72.25011600000001</v>
      </c>
      <c r="D352" t="n">
        <v>138</v>
      </c>
      <c r="E352" t="n">
        <v>2023</v>
      </c>
      <c r="F352" t="n">
        <v>2</v>
      </c>
      <c r="G352" t="n">
        <v>2</v>
      </c>
      <c r="H352" t="n">
        <v>0</v>
      </c>
      <c r="I352" t="n">
        <v>2</v>
      </c>
      <c r="J352" t="n">
        <v>2</v>
      </c>
    </row>
    <row r="353">
      <c r="A353" s="4" t="n">
        <v>46305</v>
      </c>
      <c r="B353" t="inlineStr">
        <is>
          <t>Facebook</t>
        </is>
      </c>
      <c r="C353" t="n">
        <v>22.62326869806094</v>
      </c>
      <c r="D353" t="n">
        <v>236</v>
      </c>
      <c r="E353" t="n">
        <v>4123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</row>
    <row r="354">
      <c r="A354" s="4" t="n">
        <v>46305</v>
      </c>
      <c r="B354" t="inlineStr">
        <is>
          <t>Нет метки</t>
        </is>
      </c>
      <c r="C354" t="n">
        <v/>
      </c>
      <c r="D354" t="n">
        <v/>
      </c>
      <c r="E354" t="n">
        <v/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</row>
    <row r="355">
      <c r="A355" s="4" t="n">
        <v>46305</v>
      </c>
      <c r="B355" t="inlineStr">
        <is>
          <t>Телефон</t>
        </is>
      </c>
      <c r="C355" t="n">
        <v/>
      </c>
      <c r="D355" t="n">
        <v/>
      </c>
      <c r="E355" t="n">
        <v/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s="4" t="n">
        <v>46305</v>
      </c>
      <c r="B356" t="inlineStr">
        <is>
          <t>Прочее</t>
        </is>
      </c>
      <c r="C356" t="n">
        <v/>
      </c>
      <c r="D356" t="n">
        <v/>
      </c>
      <c r="E356" t="n">
        <v/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s="4" t="n">
        <v>46306</v>
      </c>
      <c r="B357" t="inlineStr">
        <is>
          <t>Google Ads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s="4" t="n">
        <v>46306</v>
      </c>
      <c r="B358" t="inlineStr">
        <is>
          <t>Facebook</t>
        </is>
      </c>
      <c r="C358" t="n">
        <v>28.67313019390582</v>
      </c>
      <c r="D358" t="n">
        <v>274</v>
      </c>
      <c r="E358" t="n">
        <v>5604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s="4" t="n">
        <v>46306</v>
      </c>
      <c r="B359" t="inlineStr">
        <is>
          <t>Нет метки</t>
        </is>
      </c>
      <c r="C359" t="n">
        <v/>
      </c>
      <c r="D359" t="n">
        <v/>
      </c>
      <c r="E359" t="n">
        <v/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</row>
    <row r="360">
      <c r="A360" s="4" t="n">
        <v>46306</v>
      </c>
      <c r="B360" t="inlineStr">
        <is>
          <t>Телефон</t>
        </is>
      </c>
      <c r="C360" t="n">
        <v/>
      </c>
      <c r="D360" t="n">
        <v/>
      </c>
      <c r="E360" t="n">
        <v/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s="4" t="n">
        <v>46306</v>
      </c>
      <c r="B361" t="inlineStr">
        <is>
          <t>Прочее</t>
        </is>
      </c>
      <c r="C361" t="n">
        <v/>
      </c>
      <c r="D361" t="n">
        <v/>
      </c>
      <c r="E361" t="n">
        <v/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s="4" t="n">
        <v>46307</v>
      </c>
      <c r="B362" t="inlineStr">
        <is>
          <t>Google Ads</t>
        </is>
      </c>
      <c r="C362" t="n">
        <v>415.224947</v>
      </c>
      <c r="D362" t="n">
        <v>2037</v>
      </c>
      <c r="E362" t="n">
        <v>34109</v>
      </c>
      <c r="F362" t="n">
        <v>13</v>
      </c>
      <c r="G362" t="n">
        <v>11</v>
      </c>
      <c r="H362" t="n">
        <v>3</v>
      </c>
      <c r="I362" t="n">
        <v>13</v>
      </c>
      <c r="J362" t="n">
        <v>11</v>
      </c>
    </row>
    <row r="363">
      <c r="A363" s="4" t="n">
        <v>46307</v>
      </c>
      <c r="B363" t="inlineStr">
        <is>
          <t>Facebook</t>
        </is>
      </c>
      <c r="C363" t="n">
        <v>31.86149584487535</v>
      </c>
      <c r="D363" t="n">
        <v>332</v>
      </c>
      <c r="E363" t="n">
        <v>6709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s="4" t="n">
        <v>46307</v>
      </c>
      <c r="B364" t="inlineStr">
        <is>
          <t>Нет метки</t>
        </is>
      </c>
      <c r="C364" t="n">
        <v/>
      </c>
      <c r="D364" t="n">
        <v/>
      </c>
      <c r="E364" t="n">
        <v/>
      </c>
      <c r="F364" t="n">
        <v>4</v>
      </c>
      <c r="G364" t="n">
        <v>2</v>
      </c>
      <c r="H364" t="n">
        <v>4</v>
      </c>
      <c r="I364" t="n">
        <v>1</v>
      </c>
      <c r="J364" t="n">
        <v>0</v>
      </c>
    </row>
    <row r="365">
      <c r="A365" s="4" t="n">
        <v>46307</v>
      </c>
      <c r="B365" t="inlineStr">
        <is>
          <t>Телефон</t>
        </is>
      </c>
      <c r="C365" t="n">
        <v/>
      </c>
      <c r="D365" t="n">
        <v/>
      </c>
      <c r="E365" t="n">
        <v/>
      </c>
      <c r="F365" t="n">
        <v>8</v>
      </c>
      <c r="G365" t="n">
        <v>8</v>
      </c>
      <c r="H365" t="n">
        <v>2</v>
      </c>
      <c r="I365" t="n">
        <v>0</v>
      </c>
      <c r="J365" t="n">
        <v>0</v>
      </c>
    </row>
    <row r="366">
      <c r="A366" s="4" t="n">
        <v>46307</v>
      </c>
      <c r="B366" t="inlineStr">
        <is>
          <t>Прочее</t>
        </is>
      </c>
      <c r="C366" t="n">
        <v/>
      </c>
      <c r="D366" t="n">
        <v/>
      </c>
      <c r="E366" t="n">
        <v/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s="4" t="n">
        <v>46308</v>
      </c>
      <c r="B367" t="inlineStr">
        <is>
          <t>Google Ads</t>
        </is>
      </c>
      <c r="C367" t="n">
        <v>279.3299</v>
      </c>
      <c r="D367" t="n">
        <v>1813</v>
      </c>
      <c r="E367" t="n">
        <v>40737</v>
      </c>
      <c r="F367" t="n">
        <v>8</v>
      </c>
      <c r="G367" t="n">
        <v>6</v>
      </c>
      <c r="H367" t="n">
        <v>8</v>
      </c>
      <c r="I367" t="n">
        <v>9</v>
      </c>
      <c r="J367" t="n">
        <v>5</v>
      </c>
    </row>
    <row r="368">
      <c r="A368" s="4" t="n">
        <v>46308</v>
      </c>
      <c r="B368" t="inlineStr">
        <is>
          <t>Facebook</t>
        </is>
      </c>
      <c r="C368" t="n">
        <v>36.29362880886427</v>
      </c>
      <c r="D368" t="n">
        <v>349</v>
      </c>
      <c r="E368" t="n">
        <v>7677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s="4" t="n">
        <v>46308</v>
      </c>
      <c r="B369" t="inlineStr">
        <is>
          <t>Нет метки</t>
        </is>
      </c>
      <c r="C369" t="n">
        <v/>
      </c>
      <c r="D369" t="n">
        <v/>
      </c>
      <c r="E369" t="n">
        <v/>
      </c>
      <c r="F369" t="n">
        <v>3</v>
      </c>
      <c r="G369" t="n">
        <v>1</v>
      </c>
      <c r="H369" t="n">
        <v>1</v>
      </c>
      <c r="I369" t="n">
        <v>0</v>
      </c>
      <c r="J369" t="n">
        <v>0</v>
      </c>
    </row>
    <row r="370">
      <c r="A370" s="4" t="n">
        <v>46308</v>
      </c>
      <c r="B370" t="inlineStr">
        <is>
          <t>Телефон</t>
        </is>
      </c>
      <c r="C370" t="n">
        <v/>
      </c>
      <c r="D370" t="n">
        <v/>
      </c>
      <c r="E370" t="n">
        <v/>
      </c>
      <c r="F370" t="n">
        <v>4</v>
      </c>
      <c r="G370" t="n">
        <v>4</v>
      </c>
      <c r="H370" t="n">
        <v>1</v>
      </c>
      <c r="I370" t="n">
        <v>0</v>
      </c>
      <c r="J370" t="n">
        <v>0</v>
      </c>
    </row>
    <row r="371">
      <c r="A371" s="4" t="n">
        <v>46308</v>
      </c>
      <c r="B371" t="inlineStr">
        <is>
          <t>Прочее</t>
        </is>
      </c>
      <c r="C371" t="n">
        <v/>
      </c>
      <c r="D371" t="n">
        <v/>
      </c>
      <c r="E371" t="n">
        <v/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s="4" t="n">
        <v>46309</v>
      </c>
      <c r="B372" t="inlineStr">
        <is>
          <t>Google Ads</t>
        </is>
      </c>
      <c r="C372" t="n">
        <v>377.432299</v>
      </c>
      <c r="D372" t="n">
        <v>2892</v>
      </c>
      <c r="E372" t="n">
        <v>81440</v>
      </c>
      <c r="F372" t="n">
        <v>10</v>
      </c>
      <c r="G372" t="n">
        <v>8</v>
      </c>
      <c r="H372" t="n">
        <v>3</v>
      </c>
      <c r="I372" t="n">
        <v>10</v>
      </c>
      <c r="J372" t="n">
        <v>8</v>
      </c>
    </row>
    <row r="373">
      <c r="A373" s="4" t="n">
        <v>46309</v>
      </c>
      <c r="B373" t="inlineStr">
        <is>
          <t>Facebook</t>
        </is>
      </c>
      <c r="C373" t="n">
        <v>33.37119113573407</v>
      </c>
      <c r="D373" t="n">
        <v>353</v>
      </c>
      <c r="E373" t="n">
        <v>7707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s="4" t="n">
        <v>46309</v>
      </c>
      <c r="B374" t="inlineStr">
        <is>
          <t>Нет метки</t>
        </is>
      </c>
      <c r="C374" t="n">
        <v/>
      </c>
      <c r="D374" t="n">
        <v/>
      </c>
      <c r="E374" t="n">
        <v/>
      </c>
      <c r="F374" t="n">
        <v>2</v>
      </c>
      <c r="G374" t="n">
        <v>2</v>
      </c>
      <c r="H374" t="n">
        <v>2</v>
      </c>
      <c r="I374" t="n">
        <v>0</v>
      </c>
      <c r="J374" t="n">
        <v>0</v>
      </c>
    </row>
    <row r="375">
      <c r="A375" s="4" t="n">
        <v>46309</v>
      </c>
      <c r="B375" t="inlineStr">
        <is>
          <t>Телефон</t>
        </is>
      </c>
      <c r="C375" t="n">
        <v/>
      </c>
      <c r="D375" t="n">
        <v/>
      </c>
      <c r="E375" t="n">
        <v/>
      </c>
      <c r="F375" t="n">
        <v>5</v>
      </c>
      <c r="G375" t="n">
        <v>5</v>
      </c>
      <c r="H375" t="n">
        <v>1</v>
      </c>
      <c r="I375" t="n">
        <v>0</v>
      </c>
      <c r="J375" t="n">
        <v>0</v>
      </c>
    </row>
    <row r="376">
      <c r="A376" s="4" t="n">
        <v>46309</v>
      </c>
      <c r="B376" t="inlineStr">
        <is>
          <t>Прочее</t>
        </is>
      </c>
      <c r="C376" t="n">
        <v/>
      </c>
      <c r="D376" t="n">
        <v/>
      </c>
      <c r="E376" t="n">
        <v/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s="4" t="n">
        <v>46310</v>
      </c>
      <c r="B377" t="inlineStr">
        <is>
          <t>Google Ads</t>
        </is>
      </c>
      <c r="C377" t="n">
        <v>233.624079</v>
      </c>
      <c r="D377" t="n">
        <v>2106</v>
      </c>
      <c r="E377" t="n">
        <v>49696</v>
      </c>
      <c r="F377" t="n">
        <v>11</v>
      </c>
      <c r="G377" t="n">
        <v>8</v>
      </c>
      <c r="H377" t="n">
        <v>5</v>
      </c>
      <c r="I377" t="n">
        <v>9</v>
      </c>
      <c r="J377" t="n">
        <v>7</v>
      </c>
    </row>
    <row r="378">
      <c r="A378" s="4" t="n">
        <v>46310</v>
      </c>
      <c r="B378" t="inlineStr">
        <is>
          <t>Facebook</t>
        </is>
      </c>
      <c r="C378" t="n">
        <v>38.03601108033241</v>
      </c>
      <c r="D378" t="n">
        <v>324</v>
      </c>
      <c r="E378" t="n">
        <v>7568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s="4" t="n">
        <v>46310</v>
      </c>
      <c r="B379" t="inlineStr">
        <is>
          <t>Нет метки</t>
        </is>
      </c>
      <c r="C379" t="n">
        <v/>
      </c>
      <c r="D379" t="n">
        <v/>
      </c>
      <c r="E379" t="n">
        <v/>
      </c>
      <c r="F379" t="n">
        <v>3</v>
      </c>
      <c r="G379" t="n">
        <v>1</v>
      </c>
      <c r="H379" t="n">
        <v>1</v>
      </c>
      <c r="I379" t="n">
        <v>1</v>
      </c>
      <c r="J379" t="n">
        <v>0</v>
      </c>
    </row>
    <row r="380">
      <c r="A380" s="4" t="n">
        <v>46310</v>
      </c>
      <c r="B380" t="inlineStr">
        <is>
          <t>Телефон</t>
        </is>
      </c>
      <c r="C380" t="n">
        <v/>
      </c>
      <c r="D380" t="n">
        <v/>
      </c>
      <c r="E380" t="n">
        <v/>
      </c>
      <c r="F380" t="n">
        <v>5</v>
      </c>
      <c r="G380" t="n">
        <v>5</v>
      </c>
      <c r="H380" t="n">
        <v>0</v>
      </c>
      <c r="I380" t="n">
        <v>0</v>
      </c>
      <c r="J380" t="n">
        <v>0</v>
      </c>
    </row>
    <row r="381">
      <c r="A381" s="4" t="n">
        <v>46310</v>
      </c>
      <c r="B381" t="inlineStr">
        <is>
          <t>Прочее</t>
        </is>
      </c>
      <c r="C381" t="n">
        <v/>
      </c>
      <c r="D381" t="n">
        <v/>
      </c>
      <c r="E381" t="n">
        <v/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s="4" t="n">
        <v>46311</v>
      </c>
      <c r="B382" t="inlineStr">
        <is>
          <t>Google Ads</t>
        </is>
      </c>
      <c r="C382" t="n">
        <v>95.71524599999999</v>
      </c>
      <c r="D382" t="n">
        <v>761</v>
      </c>
      <c r="E382" t="n">
        <v>13566</v>
      </c>
      <c r="F382" t="n">
        <v>5</v>
      </c>
      <c r="G382" t="n">
        <v>4</v>
      </c>
      <c r="H382" t="n">
        <v>5</v>
      </c>
      <c r="I382" t="n">
        <v>6</v>
      </c>
      <c r="J382" t="n">
        <v>4</v>
      </c>
    </row>
    <row r="383">
      <c r="A383" s="4" t="n">
        <v>46311</v>
      </c>
      <c r="B383" t="inlineStr">
        <is>
          <t>Facebook</t>
        </is>
      </c>
      <c r="C383" t="n">
        <v>29.99168975069252</v>
      </c>
      <c r="D383" t="n">
        <v>289</v>
      </c>
      <c r="E383" t="n">
        <v>6084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s="4" t="n">
        <v>46311</v>
      </c>
      <c r="B384" t="inlineStr">
        <is>
          <t>Нет метки</t>
        </is>
      </c>
      <c r="C384" t="n">
        <v/>
      </c>
      <c r="D384" t="n">
        <v/>
      </c>
      <c r="E384" t="n">
        <v/>
      </c>
      <c r="F384" t="n">
        <v>3</v>
      </c>
      <c r="G384" t="n">
        <v>1</v>
      </c>
      <c r="H384" t="n">
        <v>5</v>
      </c>
      <c r="I384" t="n">
        <v>3</v>
      </c>
      <c r="J384" t="n">
        <v>0</v>
      </c>
    </row>
    <row r="385">
      <c r="A385" s="4" t="n">
        <v>46311</v>
      </c>
      <c r="B385" t="inlineStr">
        <is>
          <t>Телефон</t>
        </is>
      </c>
      <c r="C385" t="n">
        <v/>
      </c>
      <c r="D385" t="n">
        <v/>
      </c>
      <c r="E385" t="n">
        <v/>
      </c>
      <c r="F385" t="n">
        <v>6</v>
      </c>
      <c r="G385" t="n">
        <v>6</v>
      </c>
      <c r="H385" t="n">
        <v>2</v>
      </c>
      <c r="I385" t="n">
        <v>0</v>
      </c>
      <c r="J385" t="n">
        <v>0</v>
      </c>
    </row>
    <row r="386">
      <c r="A386" s="4" t="n">
        <v>46311</v>
      </c>
      <c r="B386" t="inlineStr">
        <is>
          <t>Прочее</t>
        </is>
      </c>
      <c r="C386" t="n">
        <v/>
      </c>
      <c r="D386" t="n">
        <v/>
      </c>
      <c r="E386" t="n">
        <v/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4" t="n">
        <v>46312</v>
      </c>
      <c r="B387" t="inlineStr">
        <is>
          <t>Google Ads</t>
        </is>
      </c>
      <c r="C387" t="n">
        <v>29.42</v>
      </c>
      <c r="D387" t="n">
        <v>81</v>
      </c>
      <c r="E387" t="n">
        <v>1101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4" t="n">
        <v>46312</v>
      </c>
      <c r="B388" t="inlineStr">
        <is>
          <t>Facebook</t>
        </is>
      </c>
      <c r="C388" t="n">
        <v>29.43490304709141</v>
      </c>
      <c r="D388" t="n">
        <v>292</v>
      </c>
      <c r="E388" t="n">
        <v>5811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</row>
    <row r="389">
      <c r="A389" s="4" t="n">
        <v>46312</v>
      </c>
      <c r="B389" t="inlineStr">
        <is>
          <t>Нет метки</t>
        </is>
      </c>
      <c r="C389" t="n">
        <v/>
      </c>
      <c r="D389" t="n">
        <v/>
      </c>
      <c r="E389" t="n">
        <v/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s="4" t="n">
        <v>46312</v>
      </c>
      <c r="B390" t="inlineStr">
        <is>
          <t>Телефон</t>
        </is>
      </c>
      <c r="C390" t="n">
        <v/>
      </c>
      <c r="D390" t="n">
        <v/>
      </c>
      <c r="E390" t="n">
        <v/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4" t="n">
        <v>46312</v>
      </c>
      <c r="B391" t="inlineStr">
        <is>
          <t>Прочее</t>
        </is>
      </c>
      <c r="C391" t="n">
        <v/>
      </c>
      <c r="D391" t="n">
        <v/>
      </c>
      <c r="E391" t="n">
        <v/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s="4" t="n">
        <v>46313</v>
      </c>
      <c r="B392" t="inlineStr">
        <is>
          <t>Google Ads</t>
        </is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</row>
    <row r="393">
      <c r="A393" s="4" t="n">
        <v>46313</v>
      </c>
      <c r="B393" t="inlineStr">
        <is>
          <t>Facebook</t>
        </is>
      </c>
      <c r="C393" t="n">
        <v>47.32686980609418</v>
      </c>
      <c r="D393" t="n">
        <v>501</v>
      </c>
      <c r="E393" t="n">
        <v>10299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4" t="n">
        <v>46313</v>
      </c>
      <c r="B394" t="inlineStr">
        <is>
          <t>Нет метки</t>
        </is>
      </c>
      <c r="C394" t="n">
        <v/>
      </c>
      <c r="D394" t="n">
        <v/>
      </c>
      <c r="E394" t="n">
        <v/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4" t="n">
        <v>46313</v>
      </c>
      <c r="B395" t="inlineStr">
        <is>
          <t>Телефон</t>
        </is>
      </c>
      <c r="C395" t="n">
        <v/>
      </c>
      <c r="D395" t="n">
        <v/>
      </c>
      <c r="E395" t="n">
        <v/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4" t="n">
        <v>46313</v>
      </c>
      <c r="B396" t="inlineStr">
        <is>
          <t>Прочее</t>
        </is>
      </c>
      <c r="C396" t="n">
        <v/>
      </c>
      <c r="D396" t="n">
        <v/>
      </c>
      <c r="E396" t="n">
        <v/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4" t="n">
        <v>46314</v>
      </c>
      <c r="B397" t="inlineStr">
        <is>
          <t>Google Ads</t>
        </is>
      </c>
      <c r="C397" t="n">
        <v>128.247948</v>
      </c>
      <c r="D397" t="n">
        <v>868</v>
      </c>
      <c r="E397" t="n">
        <v>13906</v>
      </c>
      <c r="F397" t="n">
        <v>7</v>
      </c>
      <c r="G397" t="n">
        <v>5</v>
      </c>
      <c r="H397" t="n">
        <v>8</v>
      </c>
      <c r="I397" t="n">
        <v>5</v>
      </c>
      <c r="J397" t="n">
        <v>4</v>
      </c>
    </row>
    <row r="398">
      <c r="A398" s="4" t="n">
        <v>46314</v>
      </c>
      <c r="B398" t="inlineStr">
        <is>
          <t>Facebook</t>
        </is>
      </c>
      <c r="C398" t="n">
        <v>38.73961218836565</v>
      </c>
      <c r="D398" t="n">
        <v>459</v>
      </c>
      <c r="E398" t="n">
        <v>9080</v>
      </c>
      <c r="F398" t="n">
        <v>2</v>
      </c>
      <c r="G398" t="n">
        <v>2</v>
      </c>
      <c r="H398" t="n">
        <v>1</v>
      </c>
      <c r="I398" t="n">
        <v>3</v>
      </c>
      <c r="J398" t="n">
        <v>2</v>
      </c>
    </row>
    <row r="399">
      <c r="A399" s="4" t="n">
        <v>46314</v>
      </c>
      <c r="B399" t="inlineStr">
        <is>
          <t>Нет метки</t>
        </is>
      </c>
      <c r="C399" t="n">
        <v/>
      </c>
      <c r="D399" t="n">
        <v/>
      </c>
      <c r="E399" t="n">
        <v/>
      </c>
      <c r="F399" t="n">
        <v>3</v>
      </c>
      <c r="G399" t="n">
        <v>1</v>
      </c>
      <c r="H399" t="n">
        <v>0</v>
      </c>
      <c r="I399" t="n">
        <v>1</v>
      </c>
      <c r="J399" t="n">
        <v>0</v>
      </c>
    </row>
    <row r="400">
      <c r="A400" s="4" t="n">
        <v>46314</v>
      </c>
      <c r="B400" t="inlineStr">
        <is>
          <t>Телефон</t>
        </is>
      </c>
      <c r="C400" t="n">
        <v/>
      </c>
      <c r="D400" t="n">
        <v/>
      </c>
      <c r="E400" t="n">
        <v/>
      </c>
      <c r="F400" t="n">
        <v>7</v>
      </c>
      <c r="G400" t="n">
        <v>7</v>
      </c>
      <c r="H400" t="n">
        <v>1</v>
      </c>
      <c r="I400" t="n">
        <v>0</v>
      </c>
      <c r="J400" t="n">
        <v>0</v>
      </c>
    </row>
    <row r="401">
      <c r="A401" s="4" t="n">
        <v>46314</v>
      </c>
      <c r="B401" t="inlineStr">
        <is>
          <t>Прочее</t>
        </is>
      </c>
      <c r="C401" t="n">
        <v/>
      </c>
      <c r="D401" t="n">
        <v/>
      </c>
      <c r="E401" t="n">
        <v/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3" t="inlineStr">
        <is>
          <t>Период</t>
        </is>
      </c>
      <c r="B1" s="13" t="inlineStr">
        <is>
          <t>Начало</t>
        </is>
      </c>
      <c r="C1" s="13" t="inlineStr">
        <is>
          <t>Конец</t>
        </is>
      </c>
    </row>
    <row r="2">
      <c r="A2" t="inlineStr">
        <is>
          <t>Текущий месяц</t>
        </is>
      </c>
      <c r="B2" s="4">
        <f>DATE(YEAR(TODAY()),MONTH(TODAY()),1)</f>
        <v/>
      </c>
      <c r="C2" s="4">
        <f>EOMONTH(TODAY(),0)</f>
        <v/>
      </c>
    </row>
    <row r="3">
      <c r="A3" t="inlineStr">
        <is>
          <t>Прошлый месяц</t>
        </is>
      </c>
      <c r="B3" s="4">
        <f>EOMONTH(TODAY(),-2)+1</f>
        <v/>
      </c>
      <c r="C3" s="4">
        <f>EOMONTH(TODAY(),-1)</f>
        <v/>
      </c>
    </row>
    <row r="4">
      <c r="A4" t="inlineStr">
        <is>
          <t>Текущая неделя</t>
        </is>
      </c>
      <c r="B4" s="4">
        <f>TODAY()-WEEKDAY(TODAY(),2)+1</f>
        <v/>
      </c>
      <c r="C4" s="4">
        <f>B4+6</f>
        <v/>
      </c>
    </row>
    <row r="5">
      <c r="A5" t="inlineStr">
        <is>
          <t>Прошлая неделя</t>
        </is>
      </c>
      <c r="B5" s="4">
        <f>TODAY()-WEEKDAY(TODAY(),2)-6</f>
        <v/>
      </c>
      <c r="C5" s="4">
        <f>B5+6</f>
        <v/>
      </c>
    </row>
    <row r="6">
      <c r="A6" t="inlineStr">
        <is>
          <t>Последние 7 дней</t>
        </is>
      </c>
      <c r="B6" s="4">
        <f>TODAY()-7</f>
        <v/>
      </c>
      <c r="C6" s="4">
        <f>TODAY()-1</f>
        <v/>
      </c>
    </row>
    <row r="7">
      <c r="A7" t="inlineStr">
        <is>
          <t>Последние 30 дней</t>
        </is>
      </c>
      <c r="B7" s="4">
        <f>TODAY()-30</f>
        <v/>
      </c>
      <c r="C7" s="4">
        <f>TODAY()-1</f>
        <v/>
      </c>
    </row>
    <row r="8">
      <c r="A8" t="inlineStr">
        <is>
          <t>Весь период (01.08.2026–19.10.2026)</t>
        </is>
      </c>
      <c r="B8" s="4" t="n">
        <v>46235</v>
      </c>
      <c r="C8" s="4" t="n">
        <v>46314</v>
      </c>
    </row>
    <row r="9">
      <c r="A9" t="inlineStr">
        <is>
          <t>Август 2026</t>
        </is>
      </c>
      <c r="B9" s="4" t="n">
        <v>46235</v>
      </c>
      <c r="C9" s="4" t="n">
        <v>46265</v>
      </c>
    </row>
    <row r="10">
      <c r="A10" t="inlineStr">
        <is>
          <t>Сентябрь 2026</t>
        </is>
      </c>
      <c r="B10" s="4" t="n">
        <v>46266</v>
      </c>
      <c r="C10" s="4" t="n">
        <v>46295</v>
      </c>
    </row>
    <row r="11">
      <c r="A11" t="inlineStr">
        <is>
          <t>Октябрь 2026</t>
        </is>
      </c>
      <c r="B11" s="4" t="n">
        <v>46296</v>
      </c>
      <c r="C11" s="4" t="n">
        <v>46314</v>
      </c>
    </row>
    <row r="12">
      <c r="A12" t="inlineStr">
        <is>
          <t>Неделя 01.08–02.08.2026</t>
        </is>
      </c>
      <c r="B12" s="4" t="n">
        <v>46235</v>
      </c>
      <c r="C12" s="4" t="n">
        <v>46236</v>
      </c>
    </row>
    <row r="13">
      <c r="A13" t="inlineStr">
        <is>
          <t>Неделя 03.08–09.08.2026</t>
        </is>
      </c>
      <c r="B13" s="4" t="n">
        <v>46237</v>
      </c>
      <c r="C13" s="4" t="n">
        <v>46243</v>
      </c>
    </row>
    <row r="14">
      <c r="A14" t="inlineStr">
        <is>
          <t>Неделя 10.08–16.08.2026</t>
        </is>
      </c>
      <c r="B14" s="4" t="n">
        <v>46244</v>
      </c>
      <c r="C14" s="4" t="n">
        <v>46250</v>
      </c>
    </row>
    <row r="15">
      <c r="A15" t="inlineStr">
        <is>
          <t>Неделя 17.08–23.08.2026</t>
        </is>
      </c>
      <c r="B15" s="4" t="n">
        <v>46251</v>
      </c>
      <c r="C15" s="4" t="n">
        <v>46257</v>
      </c>
    </row>
    <row r="16">
      <c r="A16" t="inlineStr">
        <is>
          <t>Неделя 24.08–30.08.2026</t>
        </is>
      </c>
      <c r="B16" s="4" t="n">
        <v>46258</v>
      </c>
      <c r="C16" s="4" t="n">
        <v>46264</v>
      </c>
    </row>
    <row r="17">
      <c r="A17" t="inlineStr">
        <is>
          <t>Неделя 31.08–06.09.2026</t>
        </is>
      </c>
      <c r="B17" s="4" t="n">
        <v>46265</v>
      </c>
      <c r="C17" s="4" t="n">
        <v>46271</v>
      </c>
    </row>
    <row r="18">
      <c r="A18" t="inlineStr">
        <is>
          <t>Неделя 07.09–13.09.2026</t>
        </is>
      </c>
      <c r="B18" s="4" t="n">
        <v>46272</v>
      </c>
      <c r="C18" s="4" t="n">
        <v>46278</v>
      </c>
    </row>
    <row r="19">
      <c r="A19" t="inlineStr">
        <is>
          <t>Неделя 14.09–20.09.2026</t>
        </is>
      </c>
      <c r="B19" s="4" t="n">
        <v>46279</v>
      </c>
      <c r="C19" s="4" t="n">
        <v>46285</v>
      </c>
    </row>
    <row r="20">
      <c r="A20" t="inlineStr">
        <is>
          <t>Неделя 21.09–27.09.2026</t>
        </is>
      </c>
      <c r="B20" s="4" t="n">
        <v>46286</v>
      </c>
      <c r="C20" s="4" t="n">
        <v>46292</v>
      </c>
    </row>
    <row r="21">
      <c r="A21" t="inlineStr">
        <is>
          <t>Неделя 28.09–04.10.2026</t>
        </is>
      </c>
      <c r="B21" s="4" t="n">
        <v>46293</v>
      </c>
      <c r="C21" s="4" t="n">
        <v>46299</v>
      </c>
    </row>
    <row r="22">
      <c r="A22" t="inlineStr">
        <is>
          <t>Неделя 05.10–11.10.2026</t>
        </is>
      </c>
      <c r="B22" s="4" t="n">
        <v>46300</v>
      </c>
      <c r="C22" s="4" t="n">
        <v>46306</v>
      </c>
    </row>
    <row r="23">
      <c r="A23" t="inlineStr">
        <is>
          <t>Неделя 12.10–18.10.2026</t>
        </is>
      </c>
      <c r="B23" s="4" t="n">
        <v>46307</v>
      </c>
      <c r="C23" s="4" t="n">
        <v>46313</v>
      </c>
    </row>
    <row r="24">
      <c r="A24" t="inlineStr">
        <is>
          <t>Неделя 19.10–19.10.2026</t>
        </is>
      </c>
      <c r="B24" s="4" t="n">
        <v>46314</v>
      </c>
      <c r="C24" s="4" t="n">
        <v>46314</v>
      </c>
    </row>
    <row r="25">
      <c r="A25" t="inlineStr">
        <is>
          <t>Свой период</t>
        </is>
      </c>
      <c r="B25" s="4" t="n"/>
      <c r="C25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4" t="inlineStr">
        <is>
          <t>Цена, клики, показы: Google Ads — из Google Ads API по аккаунту целиком; Facebook — из BigQuery adwhite.fb_stats_profimet (там доллары, в евро пересчитано по курсу из параметра --usd-eur).</t>
        </is>
      </c>
    </row>
    <row r="2">
      <c r="A2" s="14" t="inlineStr">
        <is>
          <t>Конверсии: новые обращения (звонки и формы) из выгрузки CRM по правилу 60 дней — обращение новое, если у этого номера не было засчитанного нового обращения за последние 60 дней (окно от последнего засчитанного, повторы окно не продлевают).</t>
        </is>
      </c>
    </row>
    <row r="3">
      <c r="A3" s="14" t="inlineStr">
        <is>
          <t>Звонки: из конверсий те, что звонки (показаны только у Google Ads и Facebook).</t>
        </is>
      </c>
    </row>
    <row r="4">
      <c r="A4" s="14" t="inlineStr">
        <is>
          <t>Продажи: проданные заказы (в выгрузке есть «Дата продажи» в периоде); источник продажи — источник первого обращения этого номера за 60 дней до первой строки заказа. Количества товара в выгрузке нет, поэтому это заказы, а не единицы.</t>
        </is>
      </c>
    </row>
    <row r="5">
      <c r="A5" s="14" t="inlineStr">
        <is>
          <t>% конверсии = Конверсии ÷ Клики; Цена заявки = Цена ÷ Конверсии; % продажи = Продажи ÷ Конверсии; Цена продажи = Цена ÷ Продажи; CTR = Клики ÷ Показы; Цена клика = Цена ÷ Клики. «Итого»: цена, клики, показы — Google + Facebook; конверсии и продажи — по всем строкам.</t>
        </is>
      </c>
    </row>
    <row r="6">
      <c r="A6" s="14" t="inlineStr">
        <is>
          <t>Курс USD→EUR для Facebook — ячейка B5 листа «Дашборд» (допущение; в BigQuery расход хранится в долларах).</t>
        </is>
      </c>
    </row>
    <row r="7">
      <c r="A7" s="14" t="inlineStr">
        <is>
          <t>Режим B7: «Наш» — конверсии и звонки по нашему правилу 60 дней из выгрузки CRM; «Как у клиента» — звонки: первый звонок номера за всю историю Ringostat (входящие, отслеживаемые каналы), формы: сеансы GA4 form_submit по источнику сеанса (google / cpc → Google Ads, facebook* → Facebook, остальное → Нет метки); подтверждено на двух периодах скринов клиента 2026-10-20. Продажи в обоих режимах одинаковые (наше правило).</t>
        </is>
      </c>
    </row>
    <row r="8">
      <c r="A8" s="14" t="inlineStr">
        <is>
          <t>Период выбирается в ячейке B2 листа «Дашборд»; для «Свой период» даты вводятся в E3 и E4. «Текущий месяц» и «Текущая неделя» считаются от сегодняшней даты, но данных нет позже даты, указанной в B6 (данные обновляются повторным запуском скрипта profimet_sources_dashboard.py).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2026-10-20T12:23:41Z</dcterms:created>
  <dcterms:modified xmlns:dcterms="http://purl.org/dc/terms/" xmlns:xsi="http://www.w3.org/2001/XMLSchema-instance" xsi:type="dcterms:W3CDTF">2026-10-20T12:23:42Z</dcterms:modified>
</cp:coreProperties>
</file>